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i\Desktop\New folder\"/>
    </mc:Choice>
  </mc:AlternateContent>
  <xr:revisionPtr revIDLastSave="0" documentId="13_ncr:1_{97406564-30FB-4B04-843D-479345F703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" sheetId="2" r:id="rId1"/>
    <sheet name="aar" sheetId="4" r:id="rId2"/>
    <sheet name="Variabili pron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6" i="2" l="1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2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3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2" i="3"/>
  <c r="C2" i="3" l="1"/>
</calcChain>
</file>

<file path=xl/sharedStrings.xml><?xml version="1.0" encoding="utf-8"?>
<sst xmlns="http://schemas.openxmlformats.org/spreadsheetml/2006/main" count="26" uniqueCount="22">
  <si>
    <t>DGS10</t>
  </si>
  <si>
    <t>BUSLOANS</t>
  </si>
  <si>
    <t>DPRIME</t>
  </si>
  <si>
    <t>SP500</t>
  </si>
  <si>
    <t>observation_date</t>
  </si>
  <si>
    <t>MPI</t>
  </si>
  <si>
    <t>SP500 log returns</t>
  </si>
  <si>
    <t>VIX_Proxy</t>
  </si>
  <si>
    <t>high_vol</t>
  </si>
  <si>
    <t>BBA</t>
  </si>
  <si>
    <t>CCS (spread)</t>
  </si>
  <si>
    <t>dlog_loans</t>
  </si>
  <si>
    <t>ddprime</t>
  </si>
  <si>
    <t>dgs10_chg</t>
  </si>
  <si>
    <t>Date</t>
  </si>
  <si>
    <t>BAA</t>
  </si>
  <si>
    <t>Spread (BAA-DGS10)</t>
  </si>
  <si>
    <t>AAA</t>
  </si>
  <si>
    <t>BAA-AAA</t>
  </si>
  <si>
    <t>FEDFUNDS</t>
  </si>
  <si>
    <t>CPIAUCSL</t>
  </si>
  <si>
    <t>INDPRO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</si>
</sst>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yyyy\-mm\-dd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12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  <xf numFmtId="0" fontId="2" fillId="0" borderId="1" xfId="2" applyBorder="1"/>
    <xf numFmtId="166" fontId="0" fillId="0" borderId="1" xfId="0" applyNumberFormat="1" applyBorder="1"/>
  </cellXfs>
  <cellStyles count="3">
    <cellStyle name="Normal" xfId="0" builtinId="0"/>
    <cellStyle name="Normal 2" xfId="2" xr:uid="{AC054753-178F-489A-B0E9-B76A773E1035}"/>
    <cellStyle name="Normal 6" xfId="1" xr:uid="{7B6A4700-B368-4844-B801-1AD16B0441F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71"/>
  <sheetViews>
    <sheetView tabSelected="1" topLeftCell="A757" workbookViewId="0">
      <selection activeCell="N136" sqref="N136"/>
    </sheetView>
  </sheetViews>
  <sheetFormatPr defaultRowHeight="14.4" x14ac:dyDescent="0.3"/>
  <cols>
    <col min="1" max="1" width="16.5546875" bestFit="1" customWidth="1"/>
    <col min="2" max="2" width="9.88671875" bestFit="1" customWidth="1"/>
    <col min="3" max="3" width="9.33203125" bestFit="1" customWidth="1"/>
    <col min="4" max="4" width="8.5546875" bestFit="1" customWidth="1"/>
    <col min="8" max="8" width="10.44140625" style="2" bestFit="1" customWidth="1"/>
    <col min="9" max="9" width="8.33203125" style="1" customWidth="1"/>
    <col min="10" max="10" width="12" bestFit="1" customWidth="1"/>
    <col min="14" max="14" width="10.5546875" bestFit="1" customWidth="1"/>
  </cols>
  <sheetData>
    <row r="1" spans="1:11" x14ac:dyDescent="0.3">
      <c r="A1" s="3" t="s">
        <v>4</v>
      </c>
      <c r="B1" s="3" t="s">
        <v>19</v>
      </c>
      <c r="C1" s="3" t="s">
        <v>20</v>
      </c>
      <c r="D1" s="3" t="s">
        <v>21</v>
      </c>
      <c r="E1" s="3" t="s">
        <v>9</v>
      </c>
      <c r="F1" s="8" t="s">
        <v>17</v>
      </c>
      <c r="G1" s="8" t="s">
        <v>18</v>
      </c>
      <c r="H1" s="3" t="s">
        <v>1</v>
      </c>
      <c r="I1" s="3" t="s">
        <v>3</v>
      </c>
      <c r="J1" s="8" t="s">
        <v>7</v>
      </c>
      <c r="K1" s="8" t="s">
        <v>8</v>
      </c>
    </row>
    <row r="2" spans="1:11" x14ac:dyDescent="0.3">
      <c r="A2" s="4">
        <v>22647</v>
      </c>
      <c r="B2" s="5">
        <v>2.15</v>
      </c>
      <c r="C2" s="11">
        <v>30.04</v>
      </c>
      <c r="D2" s="6">
        <v>24.692499999999999</v>
      </c>
      <c r="E2" s="5">
        <v>5.08</v>
      </c>
      <c r="F2" s="5">
        <v>4.42</v>
      </c>
      <c r="G2" s="5">
        <f>E2-F2</f>
        <v>0.66000000000000014</v>
      </c>
      <c r="H2" s="6">
        <v>43.985300000000002</v>
      </c>
      <c r="I2" s="7">
        <v>68.839996337890597</v>
      </c>
      <c r="J2" s="7">
        <v>11.9552266777031</v>
      </c>
      <c r="K2" s="7">
        <v>0</v>
      </c>
    </row>
    <row r="3" spans="1:11" x14ac:dyDescent="0.3">
      <c r="A3" s="4">
        <v>22678</v>
      </c>
      <c r="B3" s="5">
        <v>2.37</v>
      </c>
      <c r="C3" s="11">
        <v>30.11</v>
      </c>
      <c r="D3" s="6">
        <v>25.096399999999999</v>
      </c>
      <c r="E3" s="5">
        <v>5.07</v>
      </c>
      <c r="F3" s="5">
        <v>4.42</v>
      </c>
      <c r="G3" s="5">
        <f t="shared" ref="G3:G66" si="0">E3-F3</f>
        <v>0.65000000000000036</v>
      </c>
      <c r="H3" s="6">
        <v>43.8688</v>
      </c>
      <c r="I3" s="7">
        <v>69.959999084472599</v>
      </c>
      <c r="J3" s="7">
        <v>7.4564543606615903</v>
      </c>
      <c r="K3" s="7">
        <v>0</v>
      </c>
    </row>
    <row r="4" spans="1:11" x14ac:dyDescent="0.3">
      <c r="A4" s="4">
        <v>22706</v>
      </c>
      <c r="B4" s="5">
        <v>2.85</v>
      </c>
      <c r="C4" s="11">
        <v>30.17</v>
      </c>
      <c r="D4" s="6">
        <v>25.231100000000001</v>
      </c>
      <c r="E4" s="5">
        <v>5.04</v>
      </c>
      <c r="F4" s="5">
        <v>4.3899999999999997</v>
      </c>
      <c r="G4" s="5">
        <f t="shared" si="0"/>
        <v>0.65000000000000036</v>
      </c>
      <c r="H4" s="6">
        <v>44.101199999999999</v>
      </c>
      <c r="I4" s="7">
        <v>69.550003051757798</v>
      </c>
      <c r="J4" s="7">
        <v>7.3137063275851402</v>
      </c>
      <c r="K4" s="7">
        <v>0</v>
      </c>
    </row>
    <row r="5" spans="1:11" x14ac:dyDescent="0.3">
      <c r="A5" s="4">
        <v>22737</v>
      </c>
      <c r="B5" s="5">
        <v>2.78</v>
      </c>
      <c r="C5" s="11">
        <v>30.21</v>
      </c>
      <c r="D5" s="6">
        <v>25.285</v>
      </c>
      <c r="E5" s="5">
        <v>5.0199999999999996</v>
      </c>
      <c r="F5" s="5">
        <v>4.33</v>
      </c>
      <c r="G5" s="5">
        <f t="shared" si="0"/>
        <v>0.6899999999999995</v>
      </c>
      <c r="H5" s="6">
        <v>44.5398</v>
      </c>
      <c r="I5" s="7">
        <v>65.239997863769503</v>
      </c>
      <c r="J5" s="7">
        <v>12.678565671327201</v>
      </c>
      <c r="K5" s="7">
        <v>0</v>
      </c>
    </row>
    <row r="6" spans="1:11" x14ac:dyDescent="0.3">
      <c r="A6" s="4">
        <v>22767</v>
      </c>
      <c r="B6" s="5">
        <v>2.36</v>
      </c>
      <c r="C6" s="11">
        <v>30.24</v>
      </c>
      <c r="D6" s="6">
        <v>25.257999999999999</v>
      </c>
      <c r="E6" s="5">
        <v>5</v>
      </c>
      <c r="F6" s="5">
        <v>4.28</v>
      </c>
      <c r="G6" s="5">
        <f t="shared" si="0"/>
        <v>0.71999999999999975</v>
      </c>
      <c r="H6" s="6">
        <v>44.841299999999997</v>
      </c>
      <c r="I6" s="7">
        <v>59.630001068115199</v>
      </c>
      <c r="J6" s="7">
        <v>43.127490868667799</v>
      </c>
      <c r="K6" s="7">
        <v>1</v>
      </c>
    </row>
    <row r="7" spans="1:11" x14ac:dyDescent="0.3">
      <c r="A7" s="4">
        <v>22798</v>
      </c>
      <c r="B7" s="5">
        <v>2.68</v>
      </c>
      <c r="C7" s="11">
        <v>30.21</v>
      </c>
      <c r="D7" s="6">
        <v>25.2042</v>
      </c>
      <c r="E7" s="5">
        <v>5.0199999999999996</v>
      </c>
      <c r="F7" s="5">
        <v>4.28</v>
      </c>
      <c r="G7" s="5">
        <f t="shared" si="0"/>
        <v>0.73999999999999932</v>
      </c>
      <c r="H7" s="6">
        <v>45.541899999999998</v>
      </c>
      <c r="I7" s="7">
        <v>54.75</v>
      </c>
      <c r="J7" s="7">
        <v>33.8951811684815</v>
      </c>
      <c r="K7" s="7">
        <v>1</v>
      </c>
    </row>
    <row r="8" spans="1:11" x14ac:dyDescent="0.3">
      <c r="A8" s="4">
        <v>22828</v>
      </c>
      <c r="B8" s="5">
        <v>2.71</v>
      </c>
      <c r="C8" s="11">
        <v>30.22</v>
      </c>
      <c r="D8" s="6">
        <v>25.4465</v>
      </c>
      <c r="E8" s="5">
        <v>5.05</v>
      </c>
      <c r="F8" s="5">
        <v>4.34</v>
      </c>
      <c r="G8" s="5">
        <f t="shared" si="0"/>
        <v>0.71</v>
      </c>
      <c r="H8" s="6">
        <v>45.726799999999997</v>
      </c>
      <c r="I8" s="7">
        <v>58.2299995422363</v>
      </c>
      <c r="J8" s="7">
        <v>18.123373994316399</v>
      </c>
      <c r="K8" s="7">
        <v>0</v>
      </c>
    </row>
    <row r="9" spans="1:11" x14ac:dyDescent="0.3">
      <c r="A9" s="4">
        <v>22859</v>
      </c>
      <c r="B9" s="5">
        <v>2.93</v>
      </c>
      <c r="C9" s="11">
        <v>30.28</v>
      </c>
      <c r="D9" s="6">
        <v>25.473400000000002</v>
      </c>
      <c r="E9" s="5">
        <v>5.0599999999999996</v>
      </c>
      <c r="F9" s="5">
        <v>4.3499999999999996</v>
      </c>
      <c r="G9" s="5">
        <f t="shared" si="0"/>
        <v>0.71</v>
      </c>
      <c r="H9" s="6">
        <v>45.923400000000001</v>
      </c>
      <c r="I9" s="7">
        <v>59.119998931884702</v>
      </c>
      <c r="J9" s="7">
        <v>12.030973069692401</v>
      </c>
      <c r="K9" s="7">
        <v>0</v>
      </c>
    </row>
    <row r="10" spans="1:11" x14ac:dyDescent="0.3">
      <c r="A10" s="4">
        <v>22890</v>
      </c>
      <c r="B10" s="5">
        <v>2.9</v>
      </c>
      <c r="C10" s="11">
        <v>30.42</v>
      </c>
      <c r="D10" s="6">
        <v>25.635000000000002</v>
      </c>
      <c r="E10" s="5">
        <v>5.03</v>
      </c>
      <c r="F10" s="5">
        <v>4.32</v>
      </c>
      <c r="G10" s="5">
        <f t="shared" si="0"/>
        <v>0.71</v>
      </c>
      <c r="H10" s="6">
        <v>46.373600000000003</v>
      </c>
      <c r="I10" s="7">
        <v>56.270000457763601</v>
      </c>
      <c r="J10" s="7">
        <v>15.4177464064416</v>
      </c>
      <c r="K10" s="7">
        <v>0</v>
      </c>
    </row>
    <row r="11" spans="1:11" x14ac:dyDescent="0.3">
      <c r="A11" s="4">
        <v>22920</v>
      </c>
      <c r="B11" s="5">
        <v>2.9</v>
      </c>
      <c r="C11" s="11">
        <v>30.38</v>
      </c>
      <c r="D11" s="6">
        <v>25.661899999999999</v>
      </c>
      <c r="E11" s="5">
        <v>4.99</v>
      </c>
      <c r="F11" s="5">
        <v>4.28</v>
      </c>
      <c r="G11" s="5">
        <f t="shared" si="0"/>
        <v>0.71</v>
      </c>
      <c r="H11" s="6">
        <v>46.848700000000001</v>
      </c>
      <c r="I11" s="7">
        <v>56.520000457763601</v>
      </c>
      <c r="J11" s="7">
        <v>25.0716377274893</v>
      </c>
      <c r="K11" s="7">
        <v>1</v>
      </c>
    </row>
    <row r="12" spans="1:11" x14ac:dyDescent="0.3">
      <c r="A12" s="4">
        <v>22951</v>
      </c>
      <c r="B12" s="5">
        <v>2.94</v>
      </c>
      <c r="C12" s="11">
        <v>30.38</v>
      </c>
      <c r="D12" s="6">
        <v>25.769600000000001</v>
      </c>
      <c r="E12" s="5">
        <v>4.96</v>
      </c>
      <c r="F12" s="5">
        <v>4.25</v>
      </c>
      <c r="G12" s="5">
        <f t="shared" si="0"/>
        <v>0.71</v>
      </c>
      <c r="H12" s="6">
        <v>47.199800000000003</v>
      </c>
      <c r="I12" s="7">
        <v>62.259998321533203</v>
      </c>
      <c r="J12" s="7">
        <v>12.988666617099399</v>
      </c>
      <c r="K12" s="7">
        <v>0</v>
      </c>
    </row>
    <row r="13" spans="1:11" x14ac:dyDescent="0.3">
      <c r="A13" s="4">
        <v>22981</v>
      </c>
      <c r="B13" s="5">
        <v>2.93</v>
      </c>
      <c r="C13" s="11">
        <v>30.38</v>
      </c>
      <c r="D13" s="6">
        <v>25.769600000000001</v>
      </c>
      <c r="E13" s="5">
        <v>4.92</v>
      </c>
      <c r="F13" s="5">
        <v>4.24</v>
      </c>
      <c r="G13" s="5">
        <f t="shared" si="0"/>
        <v>0.67999999999999972</v>
      </c>
      <c r="H13" s="6">
        <v>47.437600000000003</v>
      </c>
      <c r="I13" s="7">
        <v>63.099998474121001</v>
      </c>
      <c r="J13" s="7">
        <v>11.363275011289801</v>
      </c>
      <c r="K13" s="7">
        <v>0</v>
      </c>
    </row>
    <row r="14" spans="1:11" x14ac:dyDescent="0.3">
      <c r="A14" s="4">
        <v>23012</v>
      </c>
      <c r="B14" s="5">
        <v>2.92</v>
      </c>
      <c r="C14" s="11">
        <v>30.44</v>
      </c>
      <c r="D14" s="6">
        <v>25.958100000000002</v>
      </c>
      <c r="E14" s="5">
        <v>4.91</v>
      </c>
      <c r="F14" s="5">
        <v>4.21</v>
      </c>
      <c r="G14" s="5">
        <f t="shared" si="0"/>
        <v>0.70000000000000018</v>
      </c>
      <c r="H14" s="6">
        <v>47.662300000000002</v>
      </c>
      <c r="I14" s="7">
        <v>66.199996948242102</v>
      </c>
      <c r="J14" s="7">
        <v>10.637585711118801</v>
      </c>
      <c r="K14" s="7">
        <v>0</v>
      </c>
    </row>
    <row r="15" spans="1:11" x14ac:dyDescent="0.3">
      <c r="A15" s="4">
        <v>23043</v>
      </c>
      <c r="B15" s="5">
        <v>3</v>
      </c>
      <c r="C15" s="11">
        <v>30.48</v>
      </c>
      <c r="D15" s="6">
        <v>26.2544</v>
      </c>
      <c r="E15" s="5">
        <v>4.8899999999999997</v>
      </c>
      <c r="F15" s="5">
        <v>4.1900000000000004</v>
      </c>
      <c r="G15" s="5">
        <f t="shared" si="0"/>
        <v>0.69999999999999929</v>
      </c>
      <c r="H15" s="6">
        <v>47.8294</v>
      </c>
      <c r="I15" s="7">
        <v>64.290000915527301</v>
      </c>
      <c r="J15" s="7">
        <v>8.8451571986696802</v>
      </c>
      <c r="K15" s="7">
        <v>0</v>
      </c>
    </row>
    <row r="16" spans="1:11" x14ac:dyDescent="0.3">
      <c r="A16" s="4">
        <v>23071</v>
      </c>
      <c r="B16" s="5">
        <v>2.98</v>
      </c>
      <c r="C16" s="11">
        <v>30.51</v>
      </c>
      <c r="D16" s="6">
        <v>26.415900000000001</v>
      </c>
      <c r="E16" s="5">
        <v>4.88</v>
      </c>
      <c r="F16" s="5">
        <v>4.1900000000000004</v>
      </c>
      <c r="G16" s="5">
        <f t="shared" si="0"/>
        <v>0.6899999999999995</v>
      </c>
      <c r="H16" s="6">
        <v>47.9739</v>
      </c>
      <c r="I16" s="7">
        <v>66.569999694824205</v>
      </c>
      <c r="J16" s="7">
        <v>7.7800497066352596</v>
      </c>
      <c r="K16" s="7">
        <v>0</v>
      </c>
    </row>
    <row r="17" spans="1:11" x14ac:dyDescent="0.3">
      <c r="A17" s="4">
        <v>23102</v>
      </c>
      <c r="B17" s="5">
        <v>2.9</v>
      </c>
      <c r="C17" s="11">
        <v>30.48</v>
      </c>
      <c r="D17" s="6">
        <v>26.658200000000001</v>
      </c>
      <c r="E17" s="5">
        <v>4.87</v>
      </c>
      <c r="F17" s="5">
        <v>4.21</v>
      </c>
      <c r="G17" s="5">
        <f t="shared" si="0"/>
        <v>0.66000000000000014</v>
      </c>
      <c r="H17" s="6">
        <v>48.3917</v>
      </c>
      <c r="I17" s="7">
        <v>69.800003051757798</v>
      </c>
      <c r="J17" s="7">
        <v>6.5584995293979098</v>
      </c>
      <c r="K17" s="7">
        <v>0</v>
      </c>
    </row>
    <row r="18" spans="1:11" x14ac:dyDescent="0.3">
      <c r="A18" s="4">
        <v>23132</v>
      </c>
      <c r="B18" s="5">
        <v>3</v>
      </c>
      <c r="C18" s="11">
        <v>30.51</v>
      </c>
      <c r="D18" s="6">
        <v>26.981400000000001</v>
      </c>
      <c r="E18" s="5">
        <v>4.8499999999999996</v>
      </c>
      <c r="F18" s="5">
        <v>4.22</v>
      </c>
      <c r="G18" s="5">
        <f t="shared" si="0"/>
        <v>0.62999999999999989</v>
      </c>
      <c r="H18" s="6">
        <v>48.649000000000001</v>
      </c>
      <c r="I18" s="7">
        <v>70.800003051757798</v>
      </c>
      <c r="J18" s="7">
        <v>7.5097762653583597</v>
      </c>
      <c r="K18" s="7">
        <v>0</v>
      </c>
    </row>
    <row r="19" spans="1:11" x14ac:dyDescent="0.3">
      <c r="A19" s="4">
        <v>23163</v>
      </c>
      <c r="B19" s="5">
        <v>2.99</v>
      </c>
      <c r="C19" s="11">
        <v>30.61</v>
      </c>
      <c r="D19" s="6">
        <v>27.062200000000001</v>
      </c>
      <c r="E19" s="5">
        <v>4.84</v>
      </c>
      <c r="F19" s="5">
        <v>4.2300000000000004</v>
      </c>
      <c r="G19" s="5">
        <f t="shared" si="0"/>
        <v>0.60999999999999943</v>
      </c>
      <c r="H19" s="6">
        <v>49.246899999999997</v>
      </c>
      <c r="I19" s="7">
        <v>69.370002746582003</v>
      </c>
      <c r="J19" s="7">
        <v>7.1312264219315704</v>
      </c>
      <c r="K19" s="7">
        <v>0</v>
      </c>
    </row>
    <row r="20" spans="1:11" x14ac:dyDescent="0.3">
      <c r="A20" s="4">
        <v>23193</v>
      </c>
      <c r="B20" s="5">
        <v>3.02</v>
      </c>
      <c r="C20" s="11">
        <v>30.69</v>
      </c>
      <c r="D20" s="6">
        <v>26.954499999999999</v>
      </c>
      <c r="E20" s="5">
        <v>4.84</v>
      </c>
      <c r="F20" s="5">
        <v>4.26</v>
      </c>
      <c r="G20" s="5">
        <f t="shared" si="0"/>
        <v>0.58000000000000007</v>
      </c>
      <c r="H20" s="6">
        <v>49.4664</v>
      </c>
      <c r="I20" s="7">
        <v>69.129997253417898</v>
      </c>
      <c r="J20" s="7">
        <v>10.0750266461358</v>
      </c>
      <c r="K20" s="7">
        <v>0</v>
      </c>
    </row>
    <row r="21" spans="1:11" x14ac:dyDescent="0.3">
      <c r="A21" s="4">
        <v>23224</v>
      </c>
      <c r="B21" s="5">
        <v>3.49</v>
      </c>
      <c r="C21" s="11">
        <v>30.75</v>
      </c>
      <c r="D21" s="6">
        <v>27.008299999999998</v>
      </c>
      <c r="E21" s="5">
        <v>4.83</v>
      </c>
      <c r="F21" s="5">
        <v>4.29</v>
      </c>
      <c r="G21" s="5">
        <f t="shared" si="0"/>
        <v>0.54</v>
      </c>
      <c r="H21" s="6">
        <v>49.476799999999997</v>
      </c>
      <c r="I21" s="7">
        <v>72.5</v>
      </c>
      <c r="J21" s="7">
        <v>6.5355881604743402</v>
      </c>
      <c r="K21" s="7">
        <v>0</v>
      </c>
    </row>
    <row r="22" spans="1:11" x14ac:dyDescent="0.3">
      <c r="A22" s="4">
        <v>23255</v>
      </c>
      <c r="B22" s="5">
        <v>3.48</v>
      </c>
      <c r="C22" s="11">
        <v>30.72</v>
      </c>
      <c r="D22" s="6">
        <v>27.2776</v>
      </c>
      <c r="E22" s="5">
        <v>4.84</v>
      </c>
      <c r="F22" s="5">
        <v>4.3099999999999996</v>
      </c>
      <c r="G22" s="5">
        <f t="shared" si="0"/>
        <v>0.53000000000000025</v>
      </c>
      <c r="H22" s="6">
        <v>49.822499999999998</v>
      </c>
      <c r="I22" s="7">
        <v>71.699996948242102</v>
      </c>
      <c r="J22" s="7">
        <v>8.2950916504337506</v>
      </c>
      <c r="K22" s="7">
        <v>0</v>
      </c>
    </row>
    <row r="23" spans="1:11" x14ac:dyDescent="0.3">
      <c r="A23" s="4">
        <v>23285</v>
      </c>
      <c r="B23" s="5">
        <v>3.5</v>
      </c>
      <c r="C23" s="11">
        <v>30.75</v>
      </c>
      <c r="D23" s="6">
        <v>27.466100000000001</v>
      </c>
      <c r="E23" s="5">
        <v>4.83</v>
      </c>
      <c r="F23" s="5">
        <v>4.32</v>
      </c>
      <c r="G23" s="5">
        <f t="shared" si="0"/>
        <v>0.50999999999999979</v>
      </c>
      <c r="H23" s="6">
        <v>50.411099999999998</v>
      </c>
      <c r="I23" s="7">
        <v>74.010002136230398</v>
      </c>
      <c r="J23" s="7">
        <v>10.0162911089235</v>
      </c>
      <c r="K23" s="7">
        <v>0</v>
      </c>
    </row>
    <row r="24" spans="1:11" x14ac:dyDescent="0.3">
      <c r="A24" s="4">
        <v>23316</v>
      </c>
      <c r="B24" s="5">
        <v>3.48</v>
      </c>
      <c r="C24" s="11">
        <v>30.78</v>
      </c>
      <c r="D24" s="6">
        <v>27.6007</v>
      </c>
      <c r="E24" s="5">
        <v>4.84</v>
      </c>
      <c r="F24" s="5">
        <v>4.33</v>
      </c>
      <c r="G24" s="5">
        <f t="shared" si="0"/>
        <v>0.50999999999999979</v>
      </c>
      <c r="H24" s="6">
        <v>51.238199999999999</v>
      </c>
      <c r="I24" s="7">
        <v>73.230003356933594</v>
      </c>
      <c r="J24" s="7">
        <v>26.963073956237199</v>
      </c>
      <c r="K24" s="7">
        <v>1</v>
      </c>
    </row>
    <row r="25" spans="1:11" x14ac:dyDescent="0.3">
      <c r="A25" s="4">
        <v>23346</v>
      </c>
      <c r="B25" s="5">
        <v>3.38</v>
      </c>
      <c r="C25" s="11">
        <v>30.88</v>
      </c>
      <c r="D25" s="6">
        <v>27.546900000000001</v>
      </c>
      <c r="E25" s="5">
        <v>4.8499999999999996</v>
      </c>
      <c r="F25" s="5">
        <v>4.3499999999999996</v>
      </c>
      <c r="G25" s="5">
        <f t="shared" si="0"/>
        <v>0.5</v>
      </c>
      <c r="H25" s="6">
        <v>52.174100000000003</v>
      </c>
      <c r="I25" s="7">
        <v>75.019996643066406</v>
      </c>
      <c r="J25" s="7">
        <v>7.0270688725713999</v>
      </c>
      <c r="K25" s="7">
        <v>0</v>
      </c>
    </row>
    <row r="26" spans="1:11" x14ac:dyDescent="0.3">
      <c r="A26" s="4">
        <v>23377</v>
      </c>
      <c r="B26" s="5">
        <v>3.48</v>
      </c>
      <c r="C26" s="11">
        <v>30.94</v>
      </c>
      <c r="D26" s="6">
        <v>27.789200000000001</v>
      </c>
      <c r="E26" s="5">
        <v>4.83</v>
      </c>
      <c r="F26" s="5">
        <v>4.3899999999999997</v>
      </c>
      <c r="G26" s="5">
        <f t="shared" si="0"/>
        <v>0.44000000000000039</v>
      </c>
      <c r="H26" s="6">
        <v>52.418599999999998</v>
      </c>
      <c r="I26" s="7">
        <v>77.040000915527301</v>
      </c>
      <c r="J26" s="7">
        <v>5.3810949396630496</v>
      </c>
      <c r="K26" s="7">
        <v>0</v>
      </c>
    </row>
    <row r="27" spans="1:11" x14ac:dyDescent="0.3">
      <c r="A27" s="4">
        <v>23408</v>
      </c>
      <c r="B27" s="5">
        <v>3.48</v>
      </c>
      <c r="C27" s="11">
        <v>30.91</v>
      </c>
      <c r="D27" s="6">
        <v>27.977699999999999</v>
      </c>
      <c r="E27" s="5">
        <v>4.83</v>
      </c>
      <c r="F27" s="5">
        <v>4.3600000000000003</v>
      </c>
      <c r="G27" s="5">
        <f t="shared" si="0"/>
        <v>0.46999999999999975</v>
      </c>
      <c r="H27" s="6">
        <v>52.548200000000001</v>
      </c>
      <c r="I27" s="7">
        <v>77.800003051757798</v>
      </c>
      <c r="J27" s="7">
        <v>3.8592450466328398</v>
      </c>
      <c r="K27" s="7">
        <v>0</v>
      </c>
    </row>
    <row r="28" spans="1:11" x14ac:dyDescent="0.3">
      <c r="A28" s="4">
        <v>23437</v>
      </c>
      <c r="B28" s="5">
        <v>3.43</v>
      </c>
      <c r="C28" s="11">
        <v>30.94</v>
      </c>
      <c r="D28" s="6">
        <v>27.977699999999999</v>
      </c>
      <c r="E28" s="5">
        <v>4.83</v>
      </c>
      <c r="F28" s="5">
        <v>4.38</v>
      </c>
      <c r="G28" s="5">
        <f t="shared" si="0"/>
        <v>0.45000000000000018</v>
      </c>
      <c r="H28" s="6">
        <v>52.713900000000002</v>
      </c>
      <c r="I28" s="7">
        <v>78.980003356933594</v>
      </c>
      <c r="J28" s="7">
        <v>4.5713185548912199</v>
      </c>
      <c r="K28" s="7">
        <v>0</v>
      </c>
    </row>
    <row r="29" spans="1:11" x14ac:dyDescent="0.3">
      <c r="A29" s="4">
        <v>23468</v>
      </c>
      <c r="B29" s="5">
        <v>3.47</v>
      </c>
      <c r="C29" s="11">
        <v>30.95</v>
      </c>
      <c r="D29" s="6">
        <v>28.435500000000001</v>
      </c>
      <c r="E29" s="5">
        <v>4.8499999999999996</v>
      </c>
      <c r="F29" s="5">
        <v>4.4000000000000004</v>
      </c>
      <c r="G29" s="5">
        <f t="shared" si="0"/>
        <v>0.44999999999999929</v>
      </c>
      <c r="H29" s="6">
        <v>53.228999999999999</v>
      </c>
      <c r="I29" s="7">
        <v>79.459999084472599</v>
      </c>
      <c r="J29" s="7">
        <v>6.9693112531625898</v>
      </c>
      <c r="K29" s="7">
        <v>0</v>
      </c>
    </row>
    <row r="30" spans="1:11" x14ac:dyDescent="0.3">
      <c r="A30" s="4">
        <v>23498</v>
      </c>
      <c r="B30" s="5">
        <v>3.5</v>
      </c>
      <c r="C30" s="11">
        <v>30.98</v>
      </c>
      <c r="D30" s="6">
        <v>28.597000000000001</v>
      </c>
      <c r="E30" s="5">
        <v>4.8499999999999996</v>
      </c>
      <c r="F30" s="5">
        <v>4.41</v>
      </c>
      <c r="G30" s="5">
        <f t="shared" si="0"/>
        <v>0.4399999999999995</v>
      </c>
      <c r="H30" s="6">
        <v>53.744500000000002</v>
      </c>
      <c r="I30" s="7">
        <v>80.370002746582003</v>
      </c>
      <c r="J30" s="7">
        <v>7.3026616273886704</v>
      </c>
      <c r="K30" s="7">
        <v>0</v>
      </c>
    </row>
    <row r="31" spans="1:11" x14ac:dyDescent="0.3">
      <c r="A31" s="4">
        <v>23529</v>
      </c>
      <c r="B31" s="5">
        <v>3.5</v>
      </c>
      <c r="C31" s="11">
        <v>31.01</v>
      </c>
      <c r="D31" s="6">
        <v>28.677800000000001</v>
      </c>
      <c r="E31" s="5">
        <v>4.8499999999999996</v>
      </c>
      <c r="F31" s="5">
        <v>4.41</v>
      </c>
      <c r="G31" s="5">
        <f t="shared" si="0"/>
        <v>0.4399999999999995</v>
      </c>
      <c r="H31" s="6">
        <v>54.293700000000001</v>
      </c>
      <c r="I31" s="7">
        <v>81.690002441406193</v>
      </c>
      <c r="J31" s="7">
        <v>8.6106146324658503</v>
      </c>
      <c r="K31" s="7">
        <v>0</v>
      </c>
    </row>
    <row r="32" spans="1:11" x14ac:dyDescent="0.3">
      <c r="A32" s="4">
        <v>23559</v>
      </c>
      <c r="B32" s="5">
        <v>3.42</v>
      </c>
      <c r="C32" s="11">
        <v>31.02</v>
      </c>
      <c r="D32" s="6">
        <v>28.866299999999999</v>
      </c>
      <c r="E32" s="5">
        <v>4.83</v>
      </c>
      <c r="F32" s="5">
        <v>4.4000000000000004</v>
      </c>
      <c r="G32" s="5">
        <f t="shared" si="0"/>
        <v>0.42999999999999972</v>
      </c>
      <c r="H32" s="6">
        <v>54.715899999999998</v>
      </c>
      <c r="I32" s="7">
        <v>83.180000305175696</v>
      </c>
      <c r="J32" s="7">
        <v>5.9349682505025099</v>
      </c>
      <c r="K32" s="7">
        <v>0</v>
      </c>
    </row>
    <row r="33" spans="1:11" x14ac:dyDescent="0.3">
      <c r="A33" s="4">
        <v>23590</v>
      </c>
      <c r="B33" s="5">
        <v>3.5</v>
      </c>
      <c r="C33" s="11">
        <v>31.05</v>
      </c>
      <c r="D33" s="6">
        <v>29.0548</v>
      </c>
      <c r="E33" s="5">
        <v>4.82</v>
      </c>
      <c r="F33" s="5">
        <v>4.41</v>
      </c>
      <c r="G33" s="5">
        <f t="shared" si="0"/>
        <v>0.41000000000000014</v>
      </c>
      <c r="H33" s="6">
        <v>55.104599999999998</v>
      </c>
      <c r="I33" s="7">
        <v>81.830001831054602</v>
      </c>
      <c r="J33" s="7">
        <v>9.1524277053055503</v>
      </c>
      <c r="K33" s="7">
        <v>0</v>
      </c>
    </row>
    <row r="34" spans="1:11" x14ac:dyDescent="0.3">
      <c r="A34" s="4">
        <v>23621</v>
      </c>
      <c r="B34" s="5">
        <v>3.45</v>
      </c>
      <c r="C34" s="11">
        <v>31.08</v>
      </c>
      <c r="D34" s="6">
        <v>29.162500000000001</v>
      </c>
      <c r="E34" s="5">
        <v>4.82</v>
      </c>
      <c r="F34" s="5">
        <v>4.42</v>
      </c>
      <c r="G34" s="5">
        <f t="shared" si="0"/>
        <v>0.40000000000000036</v>
      </c>
      <c r="H34" s="6">
        <v>55.774900000000002</v>
      </c>
      <c r="I34" s="7">
        <v>84.180000305175696</v>
      </c>
      <c r="J34" s="7">
        <v>5.1531922943711903</v>
      </c>
      <c r="K34" s="7">
        <v>0</v>
      </c>
    </row>
    <row r="35" spans="1:11" x14ac:dyDescent="0.3">
      <c r="A35" s="4">
        <v>23651</v>
      </c>
      <c r="B35" s="5">
        <v>3.36</v>
      </c>
      <c r="C35" s="11">
        <v>31.12</v>
      </c>
      <c r="D35" s="6">
        <v>28.758600000000001</v>
      </c>
      <c r="E35" s="5">
        <v>4.8099999999999996</v>
      </c>
      <c r="F35" s="5">
        <v>4.42</v>
      </c>
      <c r="G35" s="5">
        <f t="shared" si="0"/>
        <v>0.38999999999999968</v>
      </c>
      <c r="H35" s="6">
        <v>56.290799999999997</v>
      </c>
      <c r="I35" s="7">
        <v>84.860000610351506</v>
      </c>
      <c r="J35" s="7">
        <v>5.9414508458689896</v>
      </c>
      <c r="K35" s="7">
        <v>0</v>
      </c>
    </row>
    <row r="36" spans="1:11" x14ac:dyDescent="0.3">
      <c r="A36" s="4">
        <v>23682</v>
      </c>
      <c r="B36" s="5">
        <v>3.52</v>
      </c>
      <c r="C36" s="11">
        <v>31.21</v>
      </c>
      <c r="D36" s="6">
        <v>29.647200000000002</v>
      </c>
      <c r="E36" s="5">
        <v>4.8099999999999996</v>
      </c>
      <c r="F36" s="5">
        <v>4.43</v>
      </c>
      <c r="G36" s="5">
        <f t="shared" si="0"/>
        <v>0.37999999999999989</v>
      </c>
      <c r="H36" s="6">
        <v>56.8628</v>
      </c>
      <c r="I36" s="7">
        <v>84.419998168945298</v>
      </c>
      <c r="J36" s="7">
        <v>6.8896783531253201</v>
      </c>
      <c r="K36" s="7">
        <v>0</v>
      </c>
    </row>
    <row r="37" spans="1:11" x14ac:dyDescent="0.3">
      <c r="A37" s="4">
        <v>23712</v>
      </c>
      <c r="B37" s="5">
        <v>3.85</v>
      </c>
      <c r="C37" s="11">
        <v>31.25</v>
      </c>
      <c r="D37" s="6">
        <v>29.997299999999999</v>
      </c>
      <c r="E37" s="5">
        <v>4.8099999999999996</v>
      </c>
      <c r="F37" s="5">
        <v>4.4400000000000004</v>
      </c>
      <c r="G37" s="5">
        <f t="shared" si="0"/>
        <v>0.36999999999999922</v>
      </c>
      <c r="H37" s="6">
        <v>58.348100000000002</v>
      </c>
      <c r="I37" s="7">
        <v>84.75</v>
      </c>
      <c r="J37" s="7">
        <v>8.2109431916405509</v>
      </c>
      <c r="K37" s="7">
        <v>0</v>
      </c>
    </row>
    <row r="38" spans="1:11" x14ac:dyDescent="0.3">
      <c r="A38" s="4">
        <v>23743</v>
      </c>
      <c r="B38" s="5">
        <v>3.9</v>
      </c>
      <c r="C38" s="11">
        <v>31.28</v>
      </c>
      <c r="D38" s="6">
        <v>30.320399999999999</v>
      </c>
      <c r="E38" s="5">
        <v>4.8</v>
      </c>
      <c r="F38" s="5">
        <v>4.43</v>
      </c>
      <c r="G38" s="5">
        <f t="shared" si="0"/>
        <v>0.37000000000000011</v>
      </c>
      <c r="H38" s="6">
        <v>59.241</v>
      </c>
      <c r="I38" s="7">
        <v>87.559997558593693</v>
      </c>
      <c r="J38" s="7">
        <v>4.8826947148592197</v>
      </c>
      <c r="K38" s="7">
        <v>0</v>
      </c>
    </row>
    <row r="39" spans="1:11" x14ac:dyDescent="0.3">
      <c r="A39" s="4">
        <v>23774</v>
      </c>
      <c r="B39" s="5">
        <v>3.98</v>
      </c>
      <c r="C39" s="11">
        <v>31.28</v>
      </c>
      <c r="D39" s="6">
        <v>30.508900000000001</v>
      </c>
      <c r="E39" s="5">
        <v>4.78</v>
      </c>
      <c r="F39" s="5">
        <v>4.41</v>
      </c>
      <c r="G39" s="5">
        <f t="shared" si="0"/>
        <v>0.37000000000000011</v>
      </c>
      <c r="H39" s="6">
        <v>60.069299999999998</v>
      </c>
      <c r="I39" s="7">
        <v>87.430000305175696</v>
      </c>
      <c r="J39" s="7">
        <v>9.3967838189582995</v>
      </c>
      <c r="K39" s="7">
        <v>0</v>
      </c>
    </row>
    <row r="40" spans="1:11" x14ac:dyDescent="0.3">
      <c r="A40" s="4">
        <v>23802</v>
      </c>
      <c r="B40" s="5">
        <v>4.05</v>
      </c>
      <c r="C40" s="11">
        <v>31.31</v>
      </c>
      <c r="D40" s="6">
        <v>30.912800000000001</v>
      </c>
      <c r="E40" s="5">
        <v>4.78</v>
      </c>
      <c r="F40" s="5">
        <v>4.42</v>
      </c>
      <c r="G40" s="5">
        <f t="shared" si="0"/>
        <v>0.36000000000000032</v>
      </c>
      <c r="H40" s="6">
        <v>61.148899999999998</v>
      </c>
      <c r="I40" s="7">
        <v>86.160003662109304</v>
      </c>
      <c r="J40" s="7">
        <v>4.9857274017569404</v>
      </c>
      <c r="K40" s="7">
        <v>0</v>
      </c>
    </row>
    <row r="41" spans="1:11" x14ac:dyDescent="0.3">
      <c r="A41" s="4">
        <v>23833</v>
      </c>
      <c r="B41" s="5">
        <v>4.09</v>
      </c>
      <c r="C41" s="11">
        <v>31.38</v>
      </c>
      <c r="D41" s="6">
        <v>31.0474</v>
      </c>
      <c r="E41" s="5">
        <v>4.8</v>
      </c>
      <c r="F41" s="5">
        <v>4.43</v>
      </c>
      <c r="G41" s="5">
        <f t="shared" si="0"/>
        <v>0.37000000000000011</v>
      </c>
      <c r="H41" s="6">
        <v>62.133099999999999</v>
      </c>
      <c r="I41" s="7">
        <v>89.110000610351506</v>
      </c>
      <c r="J41" s="7">
        <v>4.6661180186997697</v>
      </c>
      <c r="K41" s="7">
        <v>0</v>
      </c>
    </row>
    <row r="42" spans="1:11" x14ac:dyDescent="0.3">
      <c r="A42" s="4">
        <v>23863</v>
      </c>
      <c r="B42" s="5">
        <v>4.0999999999999996</v>
      </c>
      <c r="C42" s="11">
        <v>31.48</v>
      </c>
      <c r="D42" s="6">
        <v>31.2898</v>
      </c>
      <c r="E42" s="5">
        <v>4.8099999999999996</v>
      </c>
      <c r="F42" s="5">
        <v>4.4400000000000004</v>
      </c>
      <c r="G42" s="5">
        <f t="shared" si="0"/>
        <v>0.36999999999999922</v>
      </c>
      <c r="H42" s="6">
        <v>62.924999999999997</v>
      </c>
      <c r="I42" s="7">
        <v>88.419998168945298</v>
      </c>
      <c r="J42" s="7">
        <v>8.3816759411540893</v>
      </c>
      <c r="K42" s="7">
        <v>0</v>
      </c>
    </row>
    <row r="43" spans="1:11" x14ac:dyDescent="0.3">
      <c r="A43" s="4">
        <v>23894</v>
      </c>
      <c r="B43" s="5">
        <v>4.05</v>
      </c>
      <c r="C43" s="11">
        <v>31.61</v>
      </c>
      <c r="D43" s="6">
        <v>31.5321</v>
      </c>
      <c r="E43" s="5">
        <v>4.8499999999999996</v>
      </c>
      <c r="F43" s="5">
        <v>4.46</v>
      </c>
      <c r="G43" s="5">
        <f t="shared" si="0"/>
        <v>0.38999999999999968</v>
      </c>
      <c r="H43" s="6">
        <v>64.1511</v>
      </c>
      <c r="I43" s="7">
        <v>84.120002746582003</v>
      </c>
      <c r="J43" s="7">
        <v>19.393623687843299</v>
      </c>
      <c r="K43" s="7">
        <v>0</v>
      </c>
    </row>
    <row r="44" spans="1:11" x14ac:dyDescent="0.3">
      <c r="A44" s="4">
        <v>23924</v>
      </c>
      <c r="B44" s="5">
        <v>4.09</v>
      </c>
      <c r="C44" s="11">
        <v>31.58</v>
      </c>
      <c r="D44" s="6">
        <v>31.828299999999999</v>
      </c>
      <c r="E44" s="5">
        <v>4.88</v>
      </c>
      <c r="F44" s="5">
        <v>4.4800000000000004</v>
      </c>
      <c r="G44" s="5">
        <f t="shared" si="0"/>
        <v>0.39999999999999947</v>
      </c>
      <c r="H44" s="6">
        <v>64.8904</v>
      </c>
      <c r="I44" s="7">
        <v>85.25</v>
      </c>
      <c r="J44" s="7">
        <v>10.1735083055851</v>
      </c>
      <c r="K44" s="7">
        <v>0</v>
      </c>
    </row>
    <row r="45" spans="1:11" x14ac:dyDescent="0.3">
      <c r="A45" s="4">
        <v>23955</v>
      </c>
      <c r="B45" s="5">
        <v>4.12</v>
      </c>
      <c r="C45" s="11">
        <v>31.55</v>
      </c>
      <c r="D45" s="6">
        <v>31.963000000000001</v>
      </c>
      <c r="E45" s="5">
        <v>4.88</v>
      </c>
      <c r="F45" s="5">
        <v>4.49</v>
      </c>
      <c r="G45" s="5">
        <f t="shared" si="0"/>
        <v>0.38999999999999968</v>
      </c>
      <c r="H45" s="6">
        <v>65.479200000000006</v>
      </c>
      <c r="I45" s="7">
        <v>87.169998168945298</v>
      </c>
      <c r="J45" s="7">
        <v>4.0318859899965096</v>
      </c>
      <c r="K45" s="7">
        <v>0</v>
      </c>
    </row>
    <row r="46" spans="1:11" x14ac:dyDescent="0.3">
      <c r="A46" s="4">
        <v>23986</v>
      </c>
      <c r="B46" s="5">
        <v>4.0199999999999996</v>
      </c>
      <c r="C46" s="11">
        <v>31.62</v>
      </c>
      <c r="D46" s="6">
        <v>32.043799999999997</v>
      </c>
      <c r="E46" s="5">
        <v>4.91</v>
      </c>
      <c r="F46" s="5">
        <v>4.5199999999999996</v>
      </c>
      <c r="G46" s="5">
        <f t="shared" si="0"/>
        <v>0.39000000000000057</v>
      </c>
      <c r="H46" s="6">
        <v>66.388300000000001</v>
      </c>
      <c r="I46" s="7">
        <v>89.959999084472599</v>
      </c>
      <c r="J46" s="7">
        <v>7.1106786043195003</v>
      </c>
      <c r="K46" s="7">
        <v>0</v>
      </c>
    </row>
    <row r="47" spans="1:11" x14ac:dyDescent="0.3">
      <c r="A47" s="4">
        <v>24016</v>
      </c>
      <c r="B47" s="5">
        <v>4.08</v>
      </c>
      <c r="C47" s="11">
        <v>31.65</v>
      </c>
      <c r="D47" s="6">
        <v>32.366900000000001</v>
      </c>
      <c r="E47" s="5">
        <v>4.93</v>
      </c>
      <c r="F47" s="5">
        <v>4.5599999999999996</v>
      </c>
      <c r="G47" s="5">
        <f t="shared" si="0"/>
        <v>0.37000000000000011</v>
      </c>
      <c r="H47" s="6">
        <v>67.05</v>
      </c>
      <c r="I47" s="7">
        <v>92.419998168945298</v>
      </c>
      <c r="J47" s="7">
        <v>5.5528122596667897</v>
      </c>
      <c r="K47" s="7">
        <v>0</v>
      </c>
    </row>
    <row r="48" spans="1:11" x14ac:dyDescent="0.3">
      <c r="A48" s="4">
        <v>24047</v>
      </c>
      <c r="B48" s="5">
        <v>4.0999999999999996</v>
      </c>
      <c r="C48" s="11">
        <v>31.75</v>
      </c>
      <c r="D48" s="6">
        <v>32.5015</v>
      </c>
      <c r="E48" s="5">
        <v>4.95</v>
      </c>
      <c r="F48" s="5">
        <v>4.5999999999999996</v>
      </c>
      <c r="G48" s="5">
        <f t="shared" si="0"/>
        <v>0.35000000000000053</v>
      </c>
      <c r="H48" s="6">
        <v>67.754000000000005</v>
      </c>
      <c r="I48" s="7">
        <v>91.610000610351506</v>
      </c>
      <c r="J48" s="7">
        <v>5.4067726832911598</v>
      </c>
      <c r="K48" s="7">
        <v>0</v>
      </c>
    </row>
    <row r="49" spans="1:11" x14ac:dyDescent="0.3">
      <c r="A49" s="4">
        <v>24077</v>
      </c>
      <c r="B49" s="5">
        <v>4.32</v>
      </c>
      <c r="C49" s="11">
        <v>31.85</v>
      </c>
      <c r="D49" s="6">
        <v>32.9054</v>
      </c>
      <c r="E49" s="5">
        <v>5.0199999999999996</v>
      </c>
      <c r="F49" s="5">
        <v>4.68</v>
      </c>
      <c r="G49" s="5">
        <f t="shared" si="0"/>
        <v>0.33999999999999986</v>
      </c>
      <c r="H49" s="6">
        <v>69.157700000000006</v>
      </c>
      <c r="I49" s="7">
        <v>92.430000305175696</v>
      </c>
      <c r="J49" s="7">
        <v>7.5593886024329304</v>
      </c>
      <c r="K49" s="7">
        <v>0</v>
      </c>
    </row>
    <row r="50" spans="1:11" x14ac:dyDescent="0.3">
      <c r="A50" s="4">
        <v>24108</v>
      </c>
      <c r="B50" s="5">
        <v>4.42</v>
      </c>
      <c r="C50" s="11">
        <v>31.88</v>
      </c>
      <c r="D50" s="6">
        <v>33.2286</v>
      </c>
      <c r="E50" s="5">
        <v>5.0599999999999996</v>
      </c>
      <c r="F50" s="5">
        <v>4.74</v>
      </c>
      <c r="G50" s="5">
        <f t="shared" si="0"/>
        <v>0.3199999999999994</v>
      </c>
      <c r="H50" s="6">
        <v>69.983099999999993</v>
      </c>
      <c r="I50" s="7">
        <v>92.879997253417898</v>
      </c>
      <c r="J50" s="7">
        <v>5.5087674139534899</v>
      </c>
      <c r="K50" s="7">
        <v>0</v>
      </c>
    </row>
    <row r="51" spans="1:11" x14ac:dyDescent="0.3">
      <c r="A51" s="4">
        <v>24139</v>
      </c>
      <c r="B51" s="5">
        <v>4.5999999999999996</v>
      </c>
      <c r="C51" s="11">
        <v>32.08</v>
      </c>
      <c r="D51" s="6">
        <v>33.444000000000003</v>
      </c>
      <c r="E51" s="5">
        <v>5.12</v>
      </c>
      <c r="F51" s="5">
        <v>4.78</v>
      </c>
      <c r="G51" s="5">
        <f t="shared" si="0"/>
        <v>0.33999999999999986</v>
      </c>
      <c r="H51" s="6">
        <v>70.683000000000007</v>
      </c>
      <c r="I51" s="7">
        <v>91.220001220703097</v>
      </c>
      <c r="J51" s="7">
        <v>8.40089327331021</v>
      </c>
      <c r="K51" s="7">
        <v>0</v>
      </c>
    </row>
    <row r="52" spans="1:11" x14ac:dyDescent="0.3">
      <c r="A52" s="4">
        <v>24167</v>
      </c>
      <c r="B52" s="5">
        <v>4.66</v>
      </c>
      <c r="C52" s="11">
        <v>32.18</v>
      </c>
      <c r="D52" s="6">
        <v>33.901800000000001</v>
      </c>
      <c r="E52" s="5">
        <v>5.32</v>
      </c>
      <c r="F52" s="5">
        <v>4.92</v>
      </c>
      <c r="G52" s="5">
        <f t="shared" si="0"/>
        <v>0.40000000000000036</v>
      </c>
      <c r="H52" s="6">
        <v>71.521000000000001</v>
      </c>
      <c r="I52" s="7">
        <v>89.230003356933594</v>
      </c>
      <c r="J52" s="7">
        <v>12.9518499231012</v>
      </c>
      <c r="K52" s="7">
        <v>0</v>
      </c>
    </row>
    <row r="53" spans="1:11" x14ac:dyDescent="0.3">
      <c r="A53" s="4">
        <v>24198</v>
      </c>
      <c r="B53" s="5">
        <v>4.67</v>
      </c>
      <c r="C53" s="11">
        <v>32.28</v>
      </c>
      <c r="D53" s="6">
        <v>33.955599999999997</v>
      </c>
      <c r="E53" s="5">
        <v>5.41</v>
      </c>
      <c r="F53" s="5">
        <v>4.96</v>
      </c>
      <c r="G53" s="5">
        <f t="shared" si="0"/>
        <v>0.45000000000000018</v>
      </c>
      <c r="H53" s="6">
        <v>72.372799999999998</v>
      </c>
      <c r="I53" s="7">
        <v>91.059997558593693</v>
      </c>
      <c r="J53" s="7">
        <v>8.3586511641683892</v>
      </c>
      <c r="K53" s="7">
        <v>0</v>
      </c>
    </row>
    <row r="54" spans="1:11" x14ac:dyDescent="0.3">
      <c r="A54" s="4">
        <v>24228</v>
      </c>
      <c r="B54" s="5">
        <v>4.9000000000000004</v>
      </c>
      <c r="C54" s="11">
        <v>32.35</v>
      </c>
      <c r="D54" s="6">
        <v>34.278700000000001</v>
      </c>
      <c r="E54" s="5">
        <v>5.48</v>
      </c>
      <c r="F54" s="5">
        <v>4.9800000000000004</v>
      </c>
      <c r="G54" s="5">
        <f t="shared" si="0"/>
        <v>0.5</v>
      </c>
      <c r="H54" s="6">
        <v>73.327299999999994</v>
      </c>
      <c r="I54" s="7">
        <v>86.129997253417898</v>
      </c>
      <c r="J54" s="7">
        <v>19.042455250165201</v>
      </c>
      <c r="K54" s="7">
        <v>0</v>
      </c>
    </row>
    <row r="55" spans="1:11" x14ac:dyDescent="0.3">
      <c r="A55" s="4">
        <v>24259</v>
      </c>
      <c r="B55" s="5">
        <v>5.17</v>
      </c>
      <c r="C55" s="11">
        <v>32.380000000000003</v>
      </c>
      <c r="D55" s="6">
        <v>34.440300000000001</v>
      </c>
      <c r="E55" s="5">
        <v>5.58</v>
      </c>
      <c r="F55" s="5">
        <v>5.07</v>
      </c>
      <c r="G55" s="5">
        <f t="shared" si="0"/>
        <v>0.50999999999999979</v>
      </c>
      <c r="H55" s="6">
        <v>75.391900000000007</v>
      </c>
      <c r="I55" s="7">
        <v>84.739997863769503</v>
      </c>
      <c r="J55" s="7">
        <v>9.6922174177500207</v>
      </c>
      <c r="K55" s="7">
        <v>0</v>
      </c>
    </row>
    <row r="56" spans="1:11" x14ac:dyDescent="0.3">
      <c r="A56" s="4">
        <v>24289</v>
      </c>
      <c r="B56" s="5">
        <v>5.3</v>
      </c>
      <c r="C56" s="11">
        <v>32.450000000000003</v>
      </c>
      <c r="D56" s="6">
        <v>34.628799999999998</v>
      </c>
      <c r="E56" s="5">
        <v>5.68</v>
      </c>
      <c r="F56" s="5">
        <v>5.16</v>
      </c>
      <c r="G56" s="5">
        <f t="shared" si="0"/>
        <v>0.51999999999999957</v>
      </c>
      <c r="H56" s="6">
        <v>76.782600000000002</v>
      </c>
      <c r="I56" s="7">
        <v>83.599998474121094</v>
      </c>
      <c r="J56" s="7">
        <v>14.6262832204169</v>
      </c>
      <c r="K56" s="7">
        <v>0</v>
      </c>
    </row>
    <row r="57" spans="1:11" x14ac:dyDescent="0.3">
      <c r="A57" s="4">
        <v>24320</v>
      </c>
      <c r="B57" s="5">
        <v>5.53</v>
      </c>
      <c r="C57" s="11">
        <v>32.65</v>
      </c>
      <c r="D57" s="6">
        <v>34.655700000000003</v>
      </c>
      <c r="E57" s="5">
        <v>5.83</v>
      </c>
      <c r="F57" s="5">
        <v>5.31</v>
      </c>
      <c r="G57" s="5">
        <f t="shared" si="0"/>
        <v>0.52000000000000046</v>
      </c>
      <c r="H57" s="6">
        <v>76.993899999999996</v>
      </c>
      <c r="I57" s="7">
        <v>77.099998474121094</v>
      </c>
      <c r="J57" s="7">
        <v>23.081182927470898</v>
      </c>
      <c r="K57" s="7">
        <v>1</v>
      </c>
    </row>
    <row r="58" spans="1:11" x14ac:dyDescent="0.3">
      <c r="A58" s="4">
        <v>24351</v>
      </c>
      <c r="B58" s="5">
        <v>5.4</v>
      </c>
      <c r="C58" s="11">
        <v>32.75</v>
      </c>
      <c r="D58" s="6">
        <v>34.978900000000003</v>
      </c>
      <c r="E58" s="5">
        <v>6.09</v>
      </c>
      <c r="F58" s="5">
        <v>5.49</v>
      </c>
      <c r="G58" s="5">
        <f t="shared" si="0"/>
        <v>0.59999999999999964</v>
      </c>
      <c r="H58" s="6">
        <v>77.488299999999995</v>
      </c>
      <c r="I58" s="7">
        <v>76.559997558593693</v>
      </c>
      <c r="J58" s="7">
        <v>17.907306183006298</v>
      </c>
      <c r="K58" s="7">
        <v>0</v>
      </c>
    </row>
    <row r="59" spans="1:11" x14ac:dyDescent="0.3">
      <c r="A59" s="4">
        <v>24381</v>
      </c>
      <c r="B59" s="5">
        <v>5.53</v>
      </c>
      <c r="C59" s="11">
        <v>32.85</v>
      </c>
      <c r="D59" s="6">
        <v>35.221200000000003</v>
      </c>
      <c r="E59" s="5">
        <v>6.1</v>
      </c>
      <c r="F59" s="5">
        <v>5.41</v>
      </c>
      <c r="G59" s="5">
        <f t="shared" si="0"/>
        <v>0.6899999999999995</v>
      </c>
      <c r="H59" s="6">
        <v>78.010400000000004</v>
      </c>
      <c r="I59" s="7">
        <v>80.199996948242102</v>
      </c>
      <c r="J59" s="7">
        <v>22.0929925666542</v>
      </c>
      <c r="K59" s="7">
        <v>1</v>
      </c>
    </row>
    <row r="60" spans="1:11" x14ac:dyDescent="0.3">
      <c r="A60" s="4">
        <v>24412</v>
      </c>
      <c r="B60" s="5">
        <v>5.76</v>
      </c>
      <c r="C60" s="11">
        <v>32.880000000000003</v>
      </c>
      <c r="D60" s="6">
        <v>34.9788</v>
      </c>
      <c r="E60" s="5">
        <v>6.13</v>
      </c>
      <c r="F60" s="5">
        <v>5.35</v>
      </c>
      <c r="G60" s="5">
        <f t="shared" si="0"/>
        <v>0.78000000000000025</v>
      </c>
      <c r="H60" s="6">
        <v>78.372600000000006</v>
      </c>
      <c r="I60" s="7">
        <v>80.449996948242102</v>
      </c>
      <c r="J60" s="7">
        <v>12.8256940982843</v>
      </c>
      <c r="K60" s="7">
        <v>0</v>
      </c>
    </row>
    <row r="61" spans="1:11" x14ac:dyDescent="0.3">
      <c r="A61" s="4">
        <v>24442</v>
      </c>
      <c r="B61" s="5">
        <v>5.4</v>
      </c>
      <c r="C61" s="11">
        <v>32.92</v>
      </c>
      <c r="D61" s="6">
        <v>35.059600000000003</v>
      </c>
      <c r="E61" s="5">
        <v>6.18</v>
      </c>
      <c r="F61" s="5">
        <v>5.39</v>
      </c>
      <c r="G61" s="5">
        <f t="shared" si="0"/>
        <v>0.79</v>
      </c>
      <c r="H61" s="6">
        <v>78.975999999999999</v>
      </c>
      <c r="I61" s="7">
        <v>80.330001831054602</v>
      </c>
      <c r="J61" s="7">
        <v>11.232696453837599</v>
      </c>
      <c r="K61" s="7">
        <v>0</v>
      </c>
    </row>
    <row r="62" spans="1:11" x14ac:dyDescent="0.3">
      <c r="A62" s="4">
        <v>24473</v>
      </c>
      <c r="B62" s="5">
        <v>4.9400000000000004</v>
      </c>
      <c r="C62" s="11">
        <v>32.9</v>
      </c>
      <c r="D62" s="6">
        <v>35.225000000000001</v>
      </c>
      <c r="E62" s="5">
        <v>5.97</v>
      </c>
      <c r="F62" s="5">
        <v>5.2</v>
      </c>
      <c r="G62" s="5">
        <f t="shared" si="0"/>
        <v>0.76999999999999957</v>
      </c>
      <c r="H62" s="6">
        <v>79.274000000000001</v>
      </c>
      <c r="I62" s="7">
        <v>86.610000610351506</v>
      </c>
      <c r="J62" s="7">
        <v>9.6086061315415705</v>
      </c>
      <c r="K62" s="7">
        <v>0</v>
      </c>
    </row>
    <row r="63" spans="1:11" x14ac:dyDescent="0.3">
      <c r="A63" s="4">
        <v>24504</v>
      </c>
      <c r="B63" s="5">
        <v>5</v>
      </c>
      <c r="C63" s="11">
        <v>33</v>
      </c>
      <c r="D63" s="6">
        <v>34.825499999999998</v>
      </c>
      <c r="E63" s="5">
        <v>5.82</v>
      </c>
      <c r="F63" s="5">
        <v>5.03</v>
      </c>
      <c r="G63" s="5">
        <f t="shared" si="0"/>
        <v>0.79</v>
      </c>
      <c r="H63" s="6">
        <v>79.558000000000007</v>
      </c>
      <c r="I63" s="7">
        <v>86.779998779296804</v>
      </c>
      <c r="J63" s="7">
        <v>9.6856713543914292</v>
      </c>
      <c r="K63" s="7">
        <v>0</v>
      </c>
    </row>
    <row r="64" spans="1:11" x14ac:dyDescent="0.3">
      <c r="A64" s="4">
        <v>24532</v>
      </c>
      <c r="B64" s="5">
        <v>4.53</v>
      </c>
      <c r="C64" s="11">
        <v>33</v>
      </c>
      <c r="D64" s="6">
        <v>34.629199999999997</v>
      </c>
      <c r="E64" s="5">
        <v>5.85</v>
      </c>
      <c r="F64" s="5">
        <v>5.13</v>
      </c>
      <c r="G64" s="5">
        <f t="shared" si="0"/>
        <v>0.71999999999999975</v>
      </c>
      <c r="H64" s="6">
        <v>80.123099999999994</v>
      </c>
      <c r="I64" s="7">
        <v>90.199996948242102</v>
      </c>
      <c r="J64" s="7">
        <v>9.0827571601223909</v>
      </c>
      <c r="K64" s="7">
        <v>0</v>
      </c>
    </row>
    <row r="65" spans="1:11" x14ac:dyDescent="0.3">
      <c r="A65" s="4">
        <v>24563</v>
      </c>
      <c r="B65" s="5">
        <v>4.05</v>
      </c>
      <c r="C65" s="11">
        <v>33.1</v>
      </c>
      <c r="D65" s="6">
        <v>34.955800000000004</v>
      </c>
      <c r="E65" s="5">
        <v>5.83</v>
      </c>
      <c r="F65" s="5">
        <v>5.1100000000000003</v>
      </c>
      <c r="G65" s="5">
        <f t="shared" si="0"/>
        <v>0.71999999999999975</v>
      </c>
      <c r="H65" s="6">
        <v>81.185000000000002</v>
      </c>
      <c r="I65" s="7">
        <v>94.010002136230398</v>
      </c>
      <c r="J65" s="7">
        <v>12.619984814035</v>
      </c>
      <c r="K65" s="7">
        <v>0</v>
      </c>
    </row>
    <row r="66" spans="1:11" x14ac:dyDescent="0.3">
      <c r="A66" s="4">
        <v>24593</v>
      </c>
      <c r="B66" s="5">
        <v>3.94</v>
      </c>
      <c r="C66" s="11">
        <v>33.1</v>
      </c>
      <c r="D66" s="6">
        <v>34.650799999999997</v>
      </c>
      <c r="E66" s="5">
        <v>5.96</v>
      </c>
      <c r="F66" s="5">
        <v>5.24</v>
      </c>
      <c r="G66" s="5">
        <f t="shared" si="0"/>
        <v>0.71999999999999975</v>
      </c>
      <c r="H66" s="6">
        <v>81.602199999999996</v>
      </c>
      <c r="I66" s="7">
        <v>89.080001831054602</v>
      </c>
      <c r="J66" s="7">
        <v>12.1125187467199</v>
      </c>
      <c r="K66" s="7">
        <v>0</v>
      </c>
    </row>
    <row r="67" spans="1:11" x14ac:dyDescent="0.3">
      <c r="A67" s="4">
        <v>24624</v>
      </c>
      <c r="B67" s="5">
        <v>3.98</v>
      </c>
      <c r="C67" s="11">
        <v>33.299999999999997</v>
      </c>
      <c r="D67" s="6">
        <v>34.646500000000003</v>
      </c>
      <c r="E67" s="5">
        <v>6.15</v>
      </c>
      <c r="F67" s="5">
        <v>5.44</v>
      </c>
      <c r="G67" s="5">
        <f t="shared" ref="G67:G130" si="1">E67-F67</f>
        <v>0.71</v>
      </c>
      <c r="H67" s="6">
        <v>82.692899999999995</v>
      </c>
      <c r="I67" s="7">
        <v>90.639999389648395</v>
      </c>
      <c r="J67" s="7">
        <v>14.206048798750899</v>
      </c>
      <c r="K67" s="7">
        <v>0</v>
      </c>
    </row>
    <row r="68" spans="1:11" x14ac:dyDescent="0.3">
      <c r="A68" s="4">
        <v>24654</v>
      </c>
      <c r="B68" s="5">
        <v>3.79</v>
      </c>
      <c r="C68" s="11">
        <v>33.4</v>
      </c>
      <c r="D68" s="6">
        <v>34.567599999999999</v>
      </c>
      <c r="E68" s="5">
        <v>6.26</v>
      </c>
      <c r="F68" s="5">
        <v>5.58</v>
      </c>
      <c r="G68" s="5">
        <f t="shared" si="1"/>
        <v>0.67999999999999972</v>
      </c>
      <c r="H68" s="6">
        <v>83.735100000000003</v>
      </c>
      <c r="I68" s="7">
        <v>94.75</v>
      </c>
      <c r="J68" s="7">
        <v>6.6998189602007097</v>
      </c>
      <c r="K68" s="7">
        <v>0</v>
      </c>
    </row>
    <row r="69" spans="1:11" x14ac:dyDescent="0.3">
      <c r="A69" s="4">
        <v>24685</v>
      </c>
      <c r="B69" s="5">
        <v>3.9</v>
      </c>
      <c r="C69" s="11">
        <v>33.5</v>
      </c>
      <c r="D69" s="6">
        <v>35.229900000000001</v>
      </c>
      <c r="E69" s="5">
        <v>6.33</v>
      </c>
      <c r="F69" s="5">
        <v>5.62</v>
      </c>
      <c r="G69" s="5">
        <f t="shared" si="1"/>
        <v>0.71</v>
      </c>
      <c r="H69" s="6">
        <v>83.512299999999996</v>
      </c>
      <c r="I69" s="7">
        <v>93.639999389648395</v>
      </c>
      <c r="J69" s="7">
        <v>7.2988718755959097</v>
      </c>
      <c r="K69" s="7">
        <v>0</v>
      </c>
    </row>
    <row r="70" spans="1:11" x14ac:dyDescent="0.3">
      <c r="A70" s="4">
        <v>24716</v>
      </c>
      <c r="B70" s="5">
        <v>3.99</v>
      </c>
      <c r="C70" s="11">
        <v>33.6</v>
      </c>
      <c r="D70" s="6">
        <v>35.172699999999999</v>
      </c>
      <c r="E70" s="5">
        <v>6.4</v>
      </c>
      <c r="F70" s="5">
        <v>5.65</v>
      </c>
      <c r="G70" s="5">
        <f t="shared" si="1"/>
        <v>0.75</v>
      </c>
      <c r="H70" s="6">
        <v>83.736500000000007</v>
      </c>
      <c r="I70" s="7">
        <v>96.709999084472599</v>
      </c>
      <c r="J70" s="7">
        <v>8.0458657672824891</v>
      </c>
      <c r="K70" s="7">
        <v>0</v>
      </c>
    </row>
    <row r="71" spans="1:11" x14ac:dyDescent="0.3">
      <c r="A71" s="4">
        <v>24746</v>
      </c>
      <c r="B71" s="5">
        <v>3.88</v>
      </c>
      <c r="C71" s="11">
        <v>33.700000000000003</v>
      </c>
      <c r="D71" s="6">
        <v>35.459099999999999</v>
      </c>
      <c r="E71" s="5">
        <v>6.52</v>
      </c>
      <c r="F71" s="5">
        <v>5.82</v>
      </c>
      <c r="G71" s="5">
        <f t="shared" si="1"/>
        <v>0.69999999999999929</v>
      </c>
      <c r="H71" s="6">
        <v>84.104299999999995</v>
      </c>
      <c r="I71" s="7">
        <v>93.300003051757798</v>
      </c>
      <c r="J71" s="7">
        <v>10.2770757645928</v>
      </c>
      <c r="K71" s="7">
        <v>0</v>
      </c>
    </row>
    <row r="72" spans="1:11" x14ac:dyDescent="0.3">
      <c r="A72" s="4">
        <v>24777</v>
      </c>
      <c r="B72" s="5">
        <v>4.13</v>
      </c>
      <c r="C72" s="11">
        <v>33.9</v>
      </c>
      <c r="D72" s="6">
        <v>35.966299999999997</v>
      </c>
      <c r="E72" s="5">
        <v>6.72</v>
      </c>
      <c r="F72" s="5">
        <v>6.07</v>
      </c>
      <c r="G72" s="5">
        <f t="shared" si="1"/>
        <v>0.64999999999999947</v>
      </c>
      <c r="H72" s="6">
        <v>84.5959</v>
      </c>
      <c r="I72" s="7">
        <v>94</v>
      </c>
      <c r="J72" s="7">
        <v>13.2719299005349</v>
      </c>
      <c r="K72" s="7">
        <v>0</v>
      </c>
    </row>
    <row r="73" spans="1:11" x14ac:dyDescent="0.3">
      <c r="A73" s="4">
        <v>24807</v>
      </c>
      <c r="B73" s="5">
        <v>4.51</v>
      </c>
      <c r="C73" s="11">
        <v>34</v>
      </c>
      <c r="D73" s="6">
        <v>36.3536</v>
      </c>
      <c r="E73" s="5">
        <v>6.93</v>
      </c>
      <c r="F73" s="5">
        <v>6.19</v>
      </c>
      <c r="G73" s="5">
        <f t="shared" si="1"/>
        <v>0.73999999999999932</v>
      </c>
      <c r="H73" s="6">
        <v>86.139700000000005</v>
      </c>
      <c r="I73" s="7">
        <v>96.470001220703097</v>
      </c>
      <c r="J73" s="7">
        <v>7.0780207918329499</v>
      </c>
      <c r="K73" s="7">
        <v>0</v>
      </c>
    </row>
    <row r="74" spans="1:11" x14ac:dyDescent="0.3">
      <c r="A74" s="4">
        <v>24838</v>
      </c>
      <c r="B74" s="5">
        <v>4.6100000000000003</v>
      </c>
      <c r="C74" s="11">
        <v>34.1</v>
      </c>
      <c r="D74" s="6">
        <v>36.314500000000002</v>
      </c>
      <c r="E74" s="5">
        <v>6.84</v>
      </c>
      <c r="F74" s="5">
        <v>6.17</v>
      </c>
      <c r="G74" s="5">
        <f t="shared" si="1"/>
        <v>0.66999999999999993</v>
      </c>
      <c r="H74" s="6">
        <v>86.550899999999999</v>
      </c>
      <c r="I74" s="7">
        <v>92.239997863769503</v>
      </c>
      <c r="J74" s="7">
        <v>8.7022746403198106</v>
      </c>
      <c r="K74" s="7">
        <v>0</v>
      </c>
    </row>
    <row r="75" spans="1:11" x14ac:dyDescent="0.3">
      <c r="A75" s="4">
        <v>24869</v>
      </c>
      <c r="B75" s="5">
        <v>4.71</v>
      </c>
      <c r="C75" s="11">
        <v>34.200000000000003</v>
      </c>
      <c r="D75" s="6">
        <v>36.444600000000001</v>
      </c>
      <c r="E75" s="5">
        <v>6.8</v>
      </c>
      <c r="F75" s="5">
        <v>6.1</v>
      </c>
      <c r="G75" s="5">
        <f t="shared" si="1"/>
        <v>0.70000000000000018</v>
      </c>
      <c r="H75" s="6">
        <v>86.598100000000002</v>
      </c>
      <c r="I75" s="7">
        <v>89.360000610351506</v>
      </c>
      <c r="J75" s="7">
        <v>13.5713863786736</v>
      </c>
      <c r="K75" s="7">
        <v>0</v>
      </c>
    </row>
    <row r="76" spans="1:11" x14ac:dyDescent="0.3">
      <c r="A76" s="4">
        <v>24898</v>
      </c>
      <c r="B76" s="5">
        <v>5.05</v>
      </c>
      <c r="C76" s="11">
        <v>34.299999999999997</v>
      </c>
      <c r="D76" s="6">
        <v>36.558399999999999</v>
      </c>
      <c r="E76" s="5">
        <v>6.85</v>
      </c>
      <c r="F76" s="5">
        <v>6.11</v>
      </c>
      <c r="G76" s="5">
        <f t="shared" si="1"/>
        <v>0.73999999999999932</v>
      </c>
      <c r="H76" s="6">
        <v>87.114000000000004</v>
      </c>
      <c r="I76" s="7">
        <v>90.199996948242102</v>
      </c>
      <c r="J76" s="7">
        <v>16.749490386360101</v>
      </c>
      <c r="K76" s="7">
        <v>0</v>
      </c>
    </row>
    <row r="77" spans="1:11" x14ac:dyDescent="0.3">
      <c r="A77" s="4">
        <v>24929</v>
      </c>
      <c r="B77" s="5">
        <v>5.76</v>
      </c>
      <c r="C77" s="11">
        <v>34.4</v>
      </c>
      <c r="D77" s="6">
        <v>36.6113</v>
      </c>
      <c r="E77" s="5">
        <v>6.97</v>
      </c>
      <c r="F77" s="5">
        <v>6.21</v>
      </c>
      <c r="G77" s="5">
        <f t="shared" si="1"/>
        <v>0.75999999999999979</v>
      </c>
      <c r="H77" s="6">
        <v>88.421000000000006</v>
      </c>
      <c r="I77" s="7">
        <v>97.459999084472599</v>
      </c>
      <c r="J77" s="7">
        <v>17.462339175170701</v>
      </c>
      <c r="K77" s="7">
        <v>0</v>
      </c>
    </row>
    <row r="78" spans="1:11" x14ac:dyDescent="0.3">
      <c r="A78" s="4">
        <v>24959</v>
      </c>
      <c r="B78" s="5">
        <v>6.12</v>
      </c>
      <c r="C78" s="11">
        <v>34.5</v>
      </c>
      <c r="D78" s="6">
        <v>37.021999999999998</v>
      </c>
      <c r="E78" s="5">
        <v>7.03</v>
      </c>
      <c r="F78" s="5">
        <v>6.27</v>
      </c>
      <c r="G78" s="5">
        <f t="shared" si="1"/>
        <v>0.76000000000000068</v>
      </c>
      <c r="H78" s="6">
        <v>88.9726</v>
      </c>
      <c r="I78" s="7">
        <v>98.680000305175696</v>
      </c>
      <c r="J78" s="7">
        <v>8.6630174849226904</v>
      </c>
      <c r="K78" s="7">
        <v>0</v>
      </c>
    </row>
    <row r="79" spans="1:11" x14ac:dyDescent="0.3">
      <c r="A79" s="4">
        <v>24990</v>
      </c>
      <c r="B79" s="5">
        <v>6.07</v>
      </c>
      <c r="C79" s="11">
        <v>34.700000000000003</v>
      </c>
      <c r="D79" s="6">
        <v>37.158000000000001</v>
      </c>
      <c r="E79" s="5">
        <v>7.07</v>
      </c>
      <c r="F79" s="5">
        <v>6.28</v>
      </c>
      <c r="G79" s="5">
        <f t="shared" si="1"/>
        <v>0.79</v>
      </c>
      <c r="H79" s="6">
        <v>89.929500000000004</v>
      </c>
      <c r="I79" s="7">
        <v>99.580001831054602</v>
      </c>
      <c r="J79" s="7">
        <v>13.853661092765099</v>
      </c>
      <c r="K79" s="7">
        <v>0</v>
      </c>
    </row>
    <row r="80" spans="1:11" x14ac:dyDescent="0.3">
      <c r="A80" s="4">
        <v>25020</v>
      </c>
      <c r="B80" s="5">
        <v>6.03</v>
      </c>
      <c r="C80" s="11">
        <v>34.9</v>
      </c>
      <c r="D80" s="6">
        <v>37.100999999999999</v>
      </c>
      <c r="E80" s="5">
        <v>6.98</v>
      </c>
      <c r="F80" s="5">
        <v>6.24</v>
      </c>
      <c r="G80" s="5">
        <f t="shared" si="1"/>
        <v>0.74000000000000021</v>
      </c>
      <c r="H80" s="6">
        <v>91.035799999999995</v>
      </c>
      <c r="I80" s="7">
        <v>97.739997863769503</v>
      </c>
      <c r="J80" s="7">
        <v>13.6378494910304</v>
      </c>
      <c r="K80" s="7">
        <v>0</v>
      </c>
    </row>
    <row r="81" spans="1:11" x14ac:dyDescent="0.3">
      <c r="A81" s="4">
        <v>25051</v>
      </c>
      <c r="B81" s="5">
        <v>6.03</v>
      </c>
      <c r="C81" s="11">
        <v>35</v>
      </c>
      <c r="D81" s="6">
        <v>37.204500000000003</v>
      </c>
      <c r="E81" s="5">
        <v>6.82</v>
      </c>
      <c r="F81" s="5">
        <v>6.02</v>
      </c>
      <c r="G81" s="5">
        <f t="shared" si="1"/>
        <v>0.80000000000000071</v>
      </c>
      <c r="H81" s="6">
        <v>91.238100000000003</v>
      </c>
      <c r="I81" s="7">
        <v>98.860000610351506</v>
      </c>
      <c r="J81" s="7">
        <v>8.5467956231312296</v>
      </c>
      <c r="K81" s="7">
        <v>0</v>
      </c>
    </row>
    <row r="82" spans="1:11" x14ac:dyDescent="0.3">
      <c r="A82" s="4">
        <v>25082</v>
      </c>
      <c r="B82" s="5">
        <v>5.78</v>
      </c>
      <c r="C82" s="11">
        <v>35.1</v>
      </c>
      <c r="D82" s="6">
        <v>37.345399999999998</v>
      </c>
      <c r="E82" s="5">
        <v>6.79</v>
      </c>
      <c r="F82" s="5">
        <v>5.97</v>
      </c>
      <c r="G82" s="5">
        <f t="shared" si="1"/>
        <v>0.82000000000000028</v>
      </c>
      <c r="H82" s="6">
        <v>91.845200000000006</v>
      </c>
      <c r="I82" s="7">
        <v>102.669998168945</v>
      </c>
      <c r="J82" s="7">
        <v>6.7887329877289204</v>
      </c>
      <c r="K82" s="7">
        <v>0</v>
      </c>
    </row>
    <row r="83" spans="1:11" x14ac:dyDescent="0.3">
      <c r="A83" s="4">
        <v>25112</v>
      </c>
      <c r="B83" s="5">
        <v>5.91</v>
      </c>
      <c r="C83" s="11">
        <v>35.299999999999997</v>
      </c>
      <c r="D83" s="6">
        <v>37.419600000000003</v>
      </c>
      <c r="E83" s="5">
        <v>6.84</v>
      </c>
      <c r="F83" s="5">
        <v>6.09</v>
      </c>
      <c r="G83" s="5">
        <f t="shared" si="1"/>
        <v>0.75</v>
      </c>
      <c r="H83" s="6">
        <v>92.8125</v>
      </c>
      <c r="I83" s="7">
        <v>103.41000366210901</v>
      </c>
      <c r="J83" s="7">
        <v>7.9359300943640498</v>
      </c>
      <c r="K83" s="7">
        <v>0</v>
      </c>
    </row>
    <row r="84" spans="1:11" x14ac:dyDescent="0.3">
      <c r="A84" s="4">
        <v>25143</v>
      </c>
      <c r="B84" s="5">
        <v>5.82</v>
      </c>
      <c r="C84" s="11">
        <v>35.4</v>
      </c>
      <c r="D84" s="6">
        <v>37.903599999999997</v>
      </c>
      <c r="E84" s="5">
        <v>7.01</v>
      </c>
      <c r="F84" s="5">
        <v>6.19</v>
      </c>
      <c r="G84" s="5">
        <f t="shared" si="1"/>
        <v>0.8199999999999994</v>
      </c>
      <c r="H84" s="6">
        <v>94.47</v>
      </c>
      <c r="I84" s="7">
        <v>108.370002746582</v>
      </c>
      <c r="J84" s="7">
        <v>5.77790797835147</v>
      </c>
      <c r="K84" s="7">
        <v>0</v>
      </c>
    </row>
    <row r="85" spans="1:11" x14ac:dyDescent="0.3">
      <c r="A85" s="4">
        <v>25173</v>
      </c>
      <c r="B85" s="5">
        <v>6.02</v>
      </c>
      <c r="C85" s="11">
        <v>35.6</v>
      </c>
      <c r="D85" s="6">
        <v>38.023299999999999</v>
      </c>
      <c r="E85" s="5">
        <v>7.23</v>
      </c>
      <c r="F85" s="5">
        <v>6.45</v>
      </c>
      <c r="G85" s="5">
        <f t="shared" si="1"/>
        <v>0.78000000000000025</v>
      </c>
      <c r="H85" s="6">
        <v>96.206500000000005</v>
      </c>
      <c r="I85" s="7">
        <v>103.86000061035099</v>
      </c>
      <c r="J85" s="7">
        <v>7.4797009298958601</v>
      </c>
      <c r="K85" s="7">
        <v>0</v>
      </c>
    </row>
    <row r="86" spans="1:11" x14ac:dyDescent="0.3">
      <c r="A86" s="4">
        <v>25204</v>
      </c>
      <c r="B86" s="5">
        <v>6.3</v>
      </c>
      <c r="C86" s="11">
        <v>35.700000000000003</v>
      </c>
      <c r="D86" s="6">
        <v>38.253300000000003</v>
      </c>
      <c r="E86" s="5">
        <v>7.32</v>
      </c>
      <c r="F86" s="5">
        <v>6.59</v>
      </c>
      <c r="G86" s="5">
        <f t="shared" si="1"/>
        <v>0.73000000000000043</v>
      </c>
      <c r="H86" s="6">
        <v>97.148099999999999</v>
      </c>
      <c r="I86" s="7">
        <v>103.01000213623</v>
      </c>
      <c r="J86" s="7">
        <v>10.716319035271599</v>
      </c>
      <c r="K86" s="7">
        <v>0</v>
      </c>
    </row>
    <row r="87" spans="1:11" x14ac:dyDescent="0.3">
      <c r="A87" s="4">
        <v>25235</v>
      </c>
      <c r="B87" s="5">
        <v>6.61</v>
      </c>
      <c r="C87" s="11">
        <v>35.799999999999997</v>
      </c>
      <c r="D87" s="6">
        <v>38.498100000000001</v>
      </c>
      <c r="E87" s="5">
        <v>7.3</v>
      </c>
      <c r="F87" s="5">
        <v>6.66</v>
      </c>
      <c r="G87" s="5">
        <f t="shared" si="1"/>
        <v>0.63999999999999968</v>
      </c>
      <c r="H87" s="6">
        <v>98.296300000000002</v>
      </c>
      <c r="I87" s="7">
        <v>98.129997253417898</v>
      </c>
      <c r="J87" s="7">
        <v>10.5570848642464</v>
      </c>
      <c r="K87" s="7">
        <v>0</v>
      </c>
    </row>
    <row r="88" spans="1:11" x14ac:dyDescent="0.3">
      <c r="A88" s="4">
        <v>25263</v>
      </c>
      <c r="B88" s="5">
        <v>6.79</v>
      </c>
      <c r="C88" s="11">
        <v>36.1</v>
      </c>
      <c r="D88" s="6">
        <v>38.799999999999997</v>
      </c>
      <c r="E88" s="5">
        <v>7.51</v>
      </c>
      <c r="F88" s="5">
        <v>6.85</v>
      </c>
      <c r="G88" s="5">
        <f t="shared" si="1"/>
        <v>0.66000000000000014</v>
      </c>
      <c r="H88" s="6">
        <v>99.238299999999995</v>
      </c>
      <c r="I88" s="7">
        <v>101.51000213623</v>
      </c>
      <c r="J88" s="7">
        <v>10.1243039860551</v>
      </c>
      <c r="K88" s="7">
        <v>0</v>
      </c>
    </row>
    <row r="89" spans="1:11" x14ac:dyDescent="0.3">
      <c r="A89" s="4">
        <v>25294</v>
      </c>
      <c r="B89" s="5">
        <v>7.41</v>
      </c>
      <c r="C89" s="11">
        <v>36.299999999999997</v>
      </c>
      <c r="D89" s="6">
        <v>38.657299999999999</v>
      </c>
      <c r="E89" s="5">
        <v>7.54</v>
      </c>
      <c r="F89" s="5">
        <v>6.89</v>
      </c>
      <c r="G89" s="5">
        <f t="shared" si="1"/>
        <v>0.65000000000000036</v>
      </c>
      <c r="H89" s="6">
        <v>100.7715</v>
      </c>
      <c r="I89" s="7">
        <v>103.69000244140599</v>
      </c>
      <c r="J89" s="7">
        <v>10.3191473732885</v>
      </c>
      <c r="K89" s="7">
        <v>0</v>
      </c>
    </row>
    <row r="90" spans="1:11" x14ac:dyDescent="0.3">
      <c r="A90" s="4">
        <v>25324</v>
      </c>
      <c r="B90" s="5">
        <v>8.67</v>
      </c>
      <c r="C90" s="11">
        <v>36.4</v>
      </c>
      <c r="D90" s="6">
        <v>38.511099999999999</v>
      </c>
      <c r="E90" s="5">
        <v>7.52</v>
      </c>
      <c r="F90" s="5">
        <v>6.79</v>
      </c>
      <c r="G90" s="5">
        <f t="shared" si="1"/>
        <v>0.72999999999999954</v>
      </c>
      <c r="H90" s="6">
        <v>101.94540000000001</v>
      </c>
      <c r="I90" s="7">
        <v>103.459999084472</v>
      </c>
      <c r="J90" s="7">
        <v>9.2837309184689403</v>
      </c>
      <c r="K90" s="7">
        <v>0</v>
      </c>
    </row>
    <row r="91" spans="1:11" x14ac:dyDescent="0.3">
      <c r="A91" s="4">
        <v>25355</v>
      </c>
      <c r="B91" s="5">
        <v>8.9</v>
      </c>
      <c r="C91" s="11">
        <v>36.6</v>
      </c>
      <c r="D91" s="6">
        <v>38.8874</v>
      </c>
      <c r="E91" s="5">
        <v>7.7</v>
      </c>
      <c r="F91" s="5">
        <v>6.98</v>
      </c>
      <c r="G91" s="5">
        <f t="shared" si="1"/>
        <v>0.71999999999999975</v>
      </c>
      <c r="H91" s="6">
        <v>102.54040000000001</v>
      </c>
      <c r="I91" s="7">
        <v>97.709999084472599</v>
      </c>
      <c r="J91" s="7">
        <v>11.059913438153</v>
      </c>
      <c r="K91" s="7">
        <v>0</v>
      </c>
    </row>
    <row r="92" spans="1:11" x14ac:dyDescent="0.3">
      <c r="A92" s="4">
        <v>25385</v>
      </c>
      <c r="B92" s="5">
        <v>8.61</v>
      </c>
      <c r="C92" s="11">
        <v>36.799999999999997</v>
      </c>
      <c r="D92" s="6">
        <v>39.092700000000001</v>
      </c>
      <c r="E92" s="5">
        <v>7.84</v>
      </c>
      <c r="F92" s="5">
        <v>7.08</v>
      </c>
      <c r="G92" s="5">
        <f t="shared" si="1"/>
        <v>0.75999999999999979</v>
      </c>
      <c r="H92" s="6">
        <v>103.0557</v>
      </c>
      <c r="I92" s="7">
        <v>91.830001831054602</v>
      </c>
      <c r="J92" s="7">
        <v>20.847572383438699</v>
      </c>
      <c r="K92" s="7">
        <v>1</v>
      </c>
    </row>
    <row r="93" spans="1:11" x14ac:dyDescent="0.3">
      <c r="A93" s="4">
        <v>25416</v>
      </c>
      <c r="B93" s="5">
        <v>9.19</v>
      </c>
      <c r="C93" s="11">
        <v>36.9</v>
      </c>
      <c r="D93" s="6">
        <v>39.182499999999997</v>
      </c>
      <c r="E93" s="5">
        <v>7.86</v>
      </c>
      <c r="F93" s="5">
        <v>6.97</v>
      </c>
      <c r="G93" s="5">
        <f t="shared" si="1"/>
        <v>0.89000000000000057</v>
      </c>
      <c r="H93" s="6">
        <v>103.30670000000001</v>
      </c>
      <c r="I93" s="7">
        <v>95.510002136230398</v>
      </c>
      <c r="J93" s="7">
        <v>13.0063088119594</v>
      </c>
      <c r="K93" s="7">
        <v>0</v>
      </c>
    </row>
    <row r="94" spans="1:11" x14ac:dyDescent="0.3">
      <c r="A94" s="4">
        <v>25447</v>
      </c>
      <c r="B94" s="5">
        <v>9.15</v>
      </c>
      <c r="C94" s="11">
        <v>37.1</v>
      </c>
      <c r="D94" s="6">
        <v>39.173699999999997</v>
      </c>
      <c r="E94" s="5">
        <v>8.0500000000000007</v>
      </c>
      <c r="F94" s="5">
        <v>7.14</v>
      </c>
      <c r="G94" s="5">
        <f t="shared" si="1"/>
        <v>0.91000000000000103</v>
      </c>
      <c r="H94" s="6">
        <v>103.8176</v>
      </c>
      <c r="I94" s="7">
        <v>93.120002746582003</v>
      </c>
      <c r="J94" s="7">
        <v>13.2875165212719</v>
      </c>
      <c r="K94" s="7">
        <v>0</v>
      </c>
    </row>
    <row r="95" spans="1:11" x14ac:dyDescent="0.3">
      <c r="A95" s="4">
        <v>25477</v>
      </c>
      <c r="B95" s="5">
        <v>9</v>
      </c>
      <c r="C95" s="11">
        <v>37.299999999999997</v>
      </c>
      <c r="D95" s="6">
        <v>39.185200000000002</v>
      </c>
      <c r="E95" s="5">
        <v>8.2200000000000006</v>
      </c>
      <c r="F95" s="5">
        <v>7.33</v>
      </c>
      <c r="G95" s="5">
        <f t="shared" si="1"/>
        <v>0.89000000000000057</v>
      </c>
      <c r="H95" s="6">
        <v>104.3372</v>
      </c>
      <c r="I95" s="7">
        <v>97.120002746582003</v>
      </c>
      <c r="J95" s="7">
        <v>11.0744063055852</v>
      </c>
      <c r="K95" s="7">
        <v>0</v>
      </c>
    </row>
    <row r="96" spans="1:11" x14ac:dyDescent="0.3">
      <c r="A96" s="4">
        <v>25508</v>
      </c>
      <c r="B96" s="5">
        <v>8.85</v>
      </c>
      <c r="C96" s="11">
        <v>37.5</v>
      </c>
      <c r="D96" s="6">
        <v>38.815800000000003</v>
      </c>
      <c r="E96" s="5">
        <v>8.25</v>
      </c>
      <c r="F96" s="5">
        <v>7.35</v>
      </c>
      <c r="G96" s="5">
        <f t="shared" si="1"/>
        <v>0.90000000000000036</v>
      </c>
      <c r="H96" s="6">
        <v>105.1854</v>
      </c>
      <c r="I96" s="7">
        <v>93.809997558593693</v>
      </c>
      <c r="J96" s="7">
        <v>10.016302721816301</v>
      </c>
      <c r="K96" s="7">
        <v>0</v>
      </c>
    </row>
    <row r="97" spans="1:11" x14ac:dyDescent="0.3">
      <c r="A97" s="4">
        <v>25538</v>
      </c>
      <c r="B97" s="5">
        <v>8.9700000000000006</v>
      </c>
      <c r="C97" s="11">
        <v>37.700000000000003</v>
      </c>
      <c r="D97" s="6">
        <v>38.711599999999997</v>
      </c>
      <c r="E97" s="5">
        <v>8.65</v>
      </c>
      <c r="F97" s="5">
        <v>7.72</v>
      </c>
      <c r="G97" s="5">
        <f t="shared" si="1"/>
        <v>0.9300000000000006</v>
      </c>
      <c r="H97" s="6">
        <v>106.5979</v>
      </c>
      <c r="I97" s="7">
        <v>92.059997558593693</v>
      </c>
      <c r="J97" s="7">
        <v>14.5663109977814</v>
      </c>
      <c r="K97" s="7">
        <v>0</v>
      </c>
    </row>
    <row r="98" spans="1:11" x14ac:dyDescent="0.3">
      <c r="A98" s="4">
        <v>25569</v>
      </c>
      <c r="B98" s="5">
        <v>8.98</v>
      </c>
      <c r="C98" s="11">
        <v>37.9</v>
      </c>
      <c r="D98" s="6">
        <v>37.994799999999998</v>
      </c>
      <c r="E98" s="5">
        <v>8.86</v>
      </c>
      <c r="F98" s="5">
        <v>7.91</v>
      </c>
      <c r="G98" s="5">
        <f t="shared" si="1"/>
        <v>0.94999999999999929</v>
      </c>
      <c r="H98" s="6">
        <v>106.2979</v>
      </c>
      <c r="I98" s="7">
        <v>85.019996643066406</v>
      </c>
      <c r="J98" s="7">
        <v>12.901010418958</v>
      </c>
      <c r="K98" s="7">
        <v>0</v>
      </c>
    </row>
    <row r="99" spans="1:11" x14ac:dyDescent="0.3">
      <c r="A99" s="4">
        <v>25600</v>
      </c>
      <c r="B99" s="5">
        <v>8.98</v>
      </c>
      <c r="C99" s="11">
        <v>38.1</v>
      </c>
      <c r="D99" s="6">
        <v>37.969799999999999</v>
      </c>
      <c r="E99" s="5">
        <v>8.7799999999999994</v>
      </c>
      <c r="F99" s="5">
        <v>7.93</v>
      </c>
      <c r="G99" s="5">
        <f t="shared" si="1"/>
        <v>0.84999999999999964</v>
      </c>
      <c r="H99" s="6">
        <v>105.6953</v>
      </c>
      <c r="I99" s="7">
        <v>89.5</v>
      </c>
      <c r="J99" s="7">
        <v>14.2882251307782</v>
      </c>
      <c r="K99" s="7">
        <v>0</v>
      </c>
    </row>
    <row r="100" spans="1:11" x14ac:dyDescent="0.3">
      <c r="A100" s="4">
        <v>25628</v>
      </c>
      <c r="B100" s="5">
        <v>7.76</v>
      </c>
      <c r="C100" s="11">
        <v>38.299999999999997</v>
      </c>
      <c r="D100" s="6">
        <v>37.920499999999997</v>
      </c>
      <c r="E100" s="5">
        <v>8.6300000000000008</v>
      </c>
      <c r="F100" s="5">
        <v>7.84</v>
      </c>
      <c r="G100" s="5">
        <f t="shared" si="1"/>
        <v>0.79000000000000092</v>
      </c>
      <c r="H100" s="6">
        <v>105.4128</v>
      </c>
      <c r="I100" s="7">
        <v>89.629997253417898</v>
      </c>
      <c r="J100" s="7">
        <v>13.8823284578583</v>
      </c>
      <c r="K100" s="7">
        <v>0</v>
      </c>
    </row>
    <row r="101" spans="1:11" x14ac:dyDescent="0.3">
      <c r="A101" s="4">
        <v>25659</v>
      </c>
      <c r="B101" s="5">
        <v>8.1</v>
      </c>
      <c r="C101" s="11">
        <v>38.5</v>
      </c>
      <c r="D101" s="6">
        <v>37.823</v>
      </c>
      <c r="E101" s="5">
        <v>8.6999999999999993</v>
      </c>
      <c r="F101" s="5">
        <v>7.83</v>
      </c>
      <c r="G101" s="5">
        <f t="shared" si="1"/>
        <v>0.86999999999999922</v>
      </c>
      <c r="H101" s="6">
        <v>105.67659999999999</v>
      </c>
      <c r="I101" s="7">
        <v>81.519996643066406</v>
      </c>
      <c r="J101" s="7">
        <v>15.2637933921451</v>
      </c>
      <c r="K101" s="7">
        <v>0</v>
      </c>
    </row>
    <row r="102" spans="1:11" x14ac:dyDescent="0.3">
      <c r="A102" s="4">
        <v>25689</v>
      </c>
      <c r="B102" s="5">
        <v>7.95</v>
      </c>
      <c r="C102" s="11">
        <v>38.6</v>
      </c>
      <c r="D102" s="6">
        <v>37.7789</v>
      </c>
      <c r="E102" s="5">
        <v>8.98</v>
      </c>
      <c r="F102" s="5">
        <v>8.11</v>
      </c>
      <c r="G102" s="5">
        <f t="shared" si="1"/>
        <v>0.87000000000000099</v>
      </c>
      <c r="H102" s="6">
        <v>106.01179999999999</v>
      </c>
      <c r="I102" s="7">
        <v>76.550003051757798</v>
      </c>
      <c r="J102" s="7">
        <v>39.859633928073798</v>
      </c>
      <c r="K102" s="7">
        <v>1</v>
      </c>
    </row>
    <row r="103" spans="1:11" x14ac:dyDescent="0.3">
      <c r="A103" s="4">
        <v>25720</v>
      </c>
      <c r="B103" s="5">
        <v>7.61</v>
      </c>
      <c r="C103" s="11">
        <v>38.799999999999997</v>
      </c>
      <c r="D103" s="6">
        <v>37.656700000000001</v>
      </c>
      <c r="E103" s="5">
        <v>9.25</v>
      </c>
      <c r="F103" s="5">
        <v>8.48</v>
      </c>
      <c r="G103" s="5">
        <f t="shared" si="1"/>
        <v>0.76999999999999957</v>
      </c>
      <c r="H103" s="6">
        <v>106.83580000000001</v>
      </c>
      <c r="I103" s="7">
        <v>72.720001220703097</v>
      </c>
      <c r="J103" s="7">
        <v>22.140111956624601</v>
      </c>
      <c r="K103" s="7">
        <v>1</v>
      </c>
    </row>
    <row r="104" spans="1:11" x14ac:dyDescent="0.3">
      <c r="A104" s="4">
        <v>25750</v>
      </c>
      <c r="B104" s="5">
        <v>7.21</v>
      </c>
      <c r="C104" s="11">
        <v>38.9</v>
      </c>
      <c r="D104" s="6">
        <v>37.749099999999999</v>
      </c>
      <c r="E104" s="5">
        <v>9.4</v>
      </c>
      <c r="F104" s="5">
        <v>8.44</v>
      </c>
      <c r="G104" s="5">
        <f t="shared" si="1"/>
        <v>0.96000000000000085</v>
      </c>
      <c r="H104" s="6">
        <v>107.67700000000001</v>
      </c>
      <c r="I104" s="7">
        <v>78.050003051757798</v>
      </c>
      <c r="J104" s="7">
        <v>18.913493309097898</v>
      </c>
      <c r="K104" s="7">
        <v>0</v>
      </c>
    </row>
    <row r="105" spans="1:11" x14ac:dyDescent="0.3">
      <c r="A105" s="4">
        <v>25781</v>
      </c>
      <c r="B105" s="5">
        <v>6.62</v>
      </c>
      <c r="C105" s="11">
        <v>39</v>
      </c>
      <c r="D105" s="6">
        <v>37.681800000000003</v>
      </c>
      <c r="E105" s="5">
        <v>9.44</v>
      </c>
      <c r="F105" s="5">
        <v>8.1300000000000008</v>
      </c>
      <c r="G105" s="5">
        <f t="shared" si="1"/>
        <v>1.3099999999999987</v>
      </c>
      <c r="H105" s="6">
        <v>108.5407</v>
      </c>
      <c r="I105" s="7">
        <v>81.519996643066406</v>
      </c>
      <c r="J105" s="7">
        <v>18.688678724781202</v>
      </c>
      <c r="K105" s="7">
        <v>0</v>
      </c>
    </row>
    <row r="106" spans="1:11" x14ac:dyDescent="0.3">
      <c r="A106" s="4">
        <v>25812</v>
      </c>
      <c r="B106" s="5">
        <v>6.29</v>
      </c>
      <c r="C106" s="11">
        <v>39.200000000000003</v>
      </c>
      <c r="D106" s="6">
        <v>37.4221</v>
      </c>
      <c r="E106" s="5">
        <v>9.39</v>
      </c>
      <c r="F106" s="5">
        <v>8.09</v>
      </c>
      <c r="G106" s="5">
        <f t="shared" si="1"/>
        <v>1.3000000000000007</v>
      </c>
      <c r="H106" s="6">
        <v>109.52889999999999</v>
      </c>
      <c r="I106" s="7">
        <v>84.300003051757798</v>
      </c>
      <c r="J106" s="7">
        <v>14.1606376902658</v>
      </c>
      <c r="K106" s="7">
        <v>0</v>
      </c>
    </row>
    <row r="107" spans="1:11" x14ac:dyDescent="0.3">
      <c r="A107" s="4">
        <v>25842</v>
      </c>
      <c r="B107" s="5">
        <v>6.2</v>
      </c>
      <c r="C107" s="11">
        <v>39.4</v>
      </c>
      <c r="D107" s="6">
        <v>36.673499999999997</v>
      </c>
      <c r="E107" s="5">
        <v>9.33</v>
      </c>
      <c r="F107" s="5">
        <v>8.0299999999999994</v>
      </c>
      <c r="G107" s="5">
        <f t="shared" si="1"/>
        <v>1.3000000000000007</v>
      </c>
      <c r="H107" s="6">
        <v>109.774</v>
      </c>
      <c r="I107" s="7">
        <v>83.25</v>
      </c>
      <c r="J107" s="7">
        <v>14.0987493296105</v>
      </c>
      <c r="K107" s="7">
        <v>0</v>
      </c>
    </row>
    <row r="108" spans="1:11" x14ac:dyDescent="0.3">
      <c r="A108" s="4">
        <v>25873</v>
      </c>
      <c r="B108" s="5">
        <v>5.6</v>
      </c>
      <c r="C108" s="11">
        <v>39.6</v>
      </c>
      <c r="D108" s="6">
        <v>36.4514</v>
      </c>
      <c r="E108" s="5">
        <v>9.3800000000000008</v>
      </c>
      <c r="F108" s="5">
        <v>8.0500000000000007</v>
      </c>
      <c r="G108" s="5">
        <f t="shared" si="1"/>
        <v>1.33</v>
      </c>
      <c r="H108" s="6">
        <v>110.17440000000001</v>
      </c>
      <c r="I108" s="7">
        <v>87.199996948242102</v>
      </c>
      <c r="J108" s="7">
        <v>13.0515916402383</v>
      </c>
      <c r="K108" s="7">
        <v>0</v>
      </c>
    </row>
    <row r="109" spans="1:11" x14ac:dyDescent="0.3">
      <c r="A109" s="4">
        <v>25903</v>
      </c>
      <c r="B109" s="5">
        <v>4.9000000000000004</v>
      </c>
      <c r="C109" s="11">
        <v>39.799999999999997</v>
      </c>
      <c r="D109" s="6">
        <v>37.288499999999999</v>
      </c>
      <c r="E109" s="5">
        <v>9.1199999999999992</v>
      </c>
      <c r="F109" s="5">
        <v>7.64</v>
      </c>
      <c r="G109" s="5">
        <f t="shared" si="1"/>
        <v>1.4799999999999995</v>
      </c>
      <c r="H109" s="6">
        <v>111.3578</v>
      </c>
      <c r="I109" s="7">
        <v>92.150001525878906</v>
      </c>
      <c r="J109" s="7">
        <v>8.6856420169813404</v>
      </c>
      <c r="K109" s="7">
        <v>0</v>
      </c>
    </row>
    <row r="110" spans="1:11" x14ac:dyDescent="0.3">
      <c r="A110" s="4">
        <v>25934</v>
      </c>
      <c r="B110" s="5">
        <v>4.1399999999999997</v>
      </c>
      <c r="C110" s="11">
        <v>39.9</v>
      </c>
      <c r="D110" s="6">
        <v>37.575299999999999</v>
      </c>
      <c r="E110" s="5">
        <v>8.74</v>
      </c>
      <c r="F110" s="5">
        <v>7.36</v>
      </c>
      <c r="G110" s="5">
        <f t="shared" si="1"/>
        <v>1.38</v>
      </c>
      <c r="H110" s="6">
        <v>111.5479</v>
      </c>
      <c r="I110" s="7">
        <v>95.879997253417898</v>
      </c>
      <c r="J110" s="7">
        <v>9.8973557018509997</v>
      </c>
      <c r="K110" s="7">
        <v>0</v>
      </c>
    </row>
    <row r="111" spans="1:11" x14ac:dyDescent="0.3">
      <c r="A111" s="4">
        <v>25965</v>
      </c>
      <c r="B111" s="5">
        <v>3.72</v>
      </c>
      <c r="C111" s="11">
        <v>39.9</v>
      </c>
      <c r="D111" s="6">
        <v>37.503700000000002</v>
      </c>
      <c r="E111" s="5">
        <v>8.39</v>
      </c>
      <c r="F111" s="5">
        <v>7.08</v>
      </c>
      <c r="G111" s="5">
        <f t="shared" si="1"/>
        <v>1.3100000000000005</v>
      </c>
      <c r="H111" s="6">
        <v>111.8951</v>
      </c>
      <c r="I111" s="7">
        <v>96.75</v>
      </c>
      <c r="J111" s="7">
        <v>10.0565966734236</v>
      </c>
      <c r="K111" s="7">
        <v>0</v>
      </c>
    </row>
    <row r="112" spans="1:11" x14ac:dyDescent="0.3">
      <c r="A112" s="4">
        <v>25993</v>
      </c>
      <c r="B112" s="5">
        <v>3.71</v>
      </c>
      <c r="C112" s="11">
        <v>40</v>
      </c>
      <c r="D112" s="6">
        <v>37.463099999999997</v>
      </c>
      <c r="E112" s="5">
        <v>8.4600000000000009</v>
      </c>
      <c r="F112" s="5">
        <v>7.21</v>
      </c>
      <c r="G112" s="5">
        <f t="shared" si="1"/>
        <v>1.2500000000000009</v>
      </c>
      <c r="H112" s="6">
        <v>111.9877</v>
      </c>
      <c r="I112" s="7">
        <v>100.309997558593</v>
      </c>
      <c r="J112" s="7">
        <v>8.90017945706178</v>
      </c>
      <c r="K112" s="7">
        <v>0</v>
      </c>
    </row>
    <row r="113" spans="1:11" x14ac:dyDescent="0.3">
      <c r="A113" s="4">
        <v>26024</v>
      </c>
      <c r="B113" s="5">
        <v>4.16</v>
      </c>
      <c r="C113" s="11">
        <v>40.1</v>
      </c>
      <c r="D113" s="6">
        <v>37.673499999999997</v>
      </c>
      <c r="E113" s="5">
        <v>8.4499999999999993</v>
      </c>
      <c r="F113" s="5">
        <v>7.25</v>
      </c>
      <c r="G113" s="5">
        <f t="shared" si="1"/>
        <v>1.1999999999999993</v>
      </c>
      <c r="H113" s="6">
        <v>112.14960000000001</v>
      </c>
      <c r="I113" s="7">
        <v>103.949996948242</v>
      </c>
      <c r="J113" s="7">
        <v>7.1825775536089198</v>
      </c>
      <c r="K113" s="7">
        <v>0</v>
      </c>
    </row>
    <row r="114" spans="1:11" x14ac:dyDescent="0.3">
      <c r="A114" s="4">
        <v>26054</v>
      </c>
      <c r="B114" s="5">
        <v>4.63</v>
      </c>
      <c r="C114" s="11">
        <v>40.299999999999997</v>
      </c>
      <c r="D114" s="6">
        <v>37.864600000000003</v>
      </c>
      <c r="E114" s="5">
        <v>8.6199999999999992</v>
      </c>
      <c r="F114" s="5">
        <v>7.53</v>
      </c>
      <c r="G114" s="5">
        <f t="shared" si="1"/>
        <v>1.089999999999999</v>
      </c>
      <c r="H114" s="6">
        <v>113.0615</v>
      </c>
      <c r="I114" s="7">
        <v>99.629997253417898</v>
      </c>
      <c r="J114" s="7">
        <v>9.8129306777510301</v>
      </c>
      <c r="K114" s="7">
        <v>0</v>
      </c>
    </row>
    <row r="115" spans="1:11" x14ac:dyDescent="0.3">
      <c r="A115" s="4">
        <v>26085</v>
      </c>
      <c r="B115" s="5">
        <v>4.91</v>
      </c>
      <c r="C115" s="11">
        <v>40.5</v>
      </c>
      <c r="D115" s="6">
        <v>38.023400000000002</v>
      </c>
      <c r="E115" s="5">
        <v>8.75</v>
      </c>
      <c r="F115" s="5">
        <v>7.64</v>
      </c>
      <c r="G115" s="5">
        <f t="shared" si="1"/>
        <v>1.1100000000000003</v>
      </c>
      <c r="H115" s="6">
        <v>114.12649999999999</v>
      </c>
      <c r="I115" s="7">
        <v>98.699996948242102</v>
      </c>
      <c r="J115" s="7">
        <v>12.704541410130499</v>
      </c>
      <c r="K115" s="7">
        <v>0</v>
      </c>
    </row>
    <row r="116" spans="1:11" x14ac:dyDescent="0.3">
      <c r="A116" s="4">
        <v>26115</v>
      </c>
      <c r="B116" s="5">
        <v>5.31</v>
      </c>
      <c r="C116" s="11">
        <v>40.6</v>
      </c>
      <c r="D116" s="6">
        <v>37.9131</v>
      </c>
      <c r="E116" s="5">
        <v>8.76</v>
      </c>
      <c r="F116" s="5">
        <v>7.64</v>
      </c>
      <c r="G116" s="5">
        <f t="shared" si="1"/>
        <v>1.1200000000000001</v>
      </c>
      <c r="H116" s="6">
        <v>114.3772</v>
      </c>
      <c r="I116" s="7">
        <v>95.580001831054602</v>
      </c>
      <c r="J116" s="7">
        <v>10.826119992785801</v>
      </c>
      <c r="K116" s="7">
        <v>0</v>
      </c>
    </row>
    <row r="117" spans="1:11" x14ac:dyDescent="0.3">
      <c r="A117" s="4">
        <v>26146</v>
      </c>
      <c r="B117" s="5">
        <v>5.57</v>
      </c>
      <c r="C117" s="11">
        <v>40.700000000000003</v>
      </c>
      <c r="D117" s="6">
        <v>37.692999999999998</v>
      </c>
      <c r="E117" s="5">
        <v>8.76</v>
      </c>
      <c r="F117" s="5">
        <v>7.59</v>
      </c>
      <c r="G117" s="5">
        <f t="shared" si="1"/>
        <v>1.17</v>
      </c>
      <c r="H117" s="6">
        <v>115.6802</v>
      </c>
      <c r="I117" s="7">
        <v>99.029998779296804</v>
      </c>
      <c r="J117" s="7">
        <v>21.2984449950951</v>
      </c>
      <c r="K117" s="7">
        <v>1</v>
      </c>
    </row>
    <row r="118" spans="1:11" x14ac:dyDescent="0.3">
      <c r="A118" s="4">
        <v>26177</v>
      </c>
      <c r="B118" s="5">
        <v>5.55</v>
      </c>
      <c r="C118" s="11">
        <v>40.799999999999997</v>
      </c>
      <c r="D118" s="6">
        <v>38.305599999999998</v>
      </c>
      <c r="E118" s="5">
        <v>8.59</v>
      </c>
      <c r="F118" s="5">
        <v>7.44</v>
      </c>
      <c r="G118" s="5">
        <f t="shared" si="1"/>
        <v>1.1499999999999995</v>
      </c>
      <c r="H118" s="6">
        <v>116.67449999999999</v>
      </c>
      <c r="I118" s="7">
        <v>98.339996337890597</v>
      </c>
      <c r="J118" s="7">
        <v>10.2403511435258</v>
      </c>
      <c r="K118" s="7">
        <v>0</v>
      </c>
    </row>
    <row r="119" spans="1:11" x14ac:dyDescent="0.3">
      <c r="A119" s="4">
        <v>26207</v>
      </c>
      <c r="B119" s="5">
        <v>5.2</v>
      </c>
      <c r="C119" s="11">
        <v>40.9</v>
      </c>
      <c r="D119" s="6">
        <v>38.592399999999998</v>
      </c>
      <c r="E119" s="5">
        <v>8.48</v>
      </c>
      <c r="F119" s="5">
        <v>7.39</v>
      </c>
      <c r="G119" s="5">
        <f t="shared" si="1"/>
        <v>1.0900000000000007</v>
      </c>
      <c r="H119" s="6">
        <v>117.268</v>
      </c>
      <c r="I119" s="7">
        <v>94.230003356933594</v>
      </c>
      <c r="J119" s="7">
        <v>10.802002003664599</v>
      </c>
      <c r="K119" s="7">
        <v>0</v>
      </c>
    </row>
    <row r="120" spans="1:11" x14ac:dyDescent="0.3">
      <c r="A120" s="4">
        <v>26238</v>
      </c>
      <c r="B120" s="5">
        <v>4.91</v>
      </c>
      <c r="C120" s="11">
        <v>41</v>
      </c>
      <c r="D120" s="6">
        <v>38.756100000000004</v>
      </c>
      <c r="E120" s="5">
        <v>8.3800000000000008</v>
      </c>
      <c r="F120" s="5">
        <v>7.26</v>
      </c>
      <c r="G120" s="5">
        <f t="shared" si="1"/>
        <v>1.120000000000001</v>
      </c>
      <c r="H120" s="6">
        <v>117.8104</v>
      </c>
      <c r="I120" s="7">
        <v>93.989997863769503</v>
      </c>
      <c r="J120" s="7">
        <v>19.350710859967201</v>
      </c>
      <c r="K120" s="7">
        <v>0</v>
      </c>
    </row>
    <row r="121" spans="1:11" x14ac:dyDescent="0.3">
      <c r="A121" s="4">
        <v>26268</v>
      </c>
      <c r="B121" s="5">
        <v>4.1399999999999997</v>
      </c>
      <c r="C121" s="11">
        <v>41.1</v>
      </c>
      <c r="D121" s="6">
        <v>39.203499999999998</v>
      </c>
      <c r="E121" s="5">
        <v>8.3800000000000008</v>
      </c>
      <c r="F121" s="5">
        <v>7.25</v>
      </c>
      <c r="G121" s="5">
        <f t="shared" si="1"/>
        <v>1.1300000000000008</v>
      </c>
      <c r="H121" s="6">
        <v>117.7961</v>
      </c>
      <c r="I121" s="7">
        <v>102.08999633789</v>
      </c>
      <c r="J121" s="7">
        <v>12.656796500358301</v>
      </c>
      <c r="K121" s="7">
        <v>0</v>
      </c>
    </row>
    <row r="122" spans="1:11" x14ac:dyDescent="0.3">
      <c r="A122" s="4">
        <v>26299</v>
      </c>
      <c r="B122" s="5">
        <v>3.51</v>
      </c>
      <c r="C122" s="11">
        <v>41.2</v>
      </c>
      <c r="D122" s="6">
        <v>40.140799999999999</v>
      </c>
      <c r="E122" s="5">
        <v>8.23</v>
      </c>
      <c r="F122" s="5">
        <v>7.19</v>
      </c>
      <c r="G122" s="5">
        <f t="shared" si="1"/>
        <v>1.04</v>
      </c>
      <c r="H122" s="6">
        <v>118.1645</v>
      </c>
      <c r="I122" s="7">
        <v>103.94000244140599</v>
      </c>
      <c r="J122" s="7">
        <v>9.7394762530959191</v>
      </c>
      <c r="K122" s="7">
        <v>0</v>
      </c>
    </row>
    <row r="123" spans="1:11" x14ac:dyDescent="0.3">
      <c r="A123" s="4">
        <v>26330</v>
      </c>
      <c r="B123" s="5">
        <v>3.3</v>
      </c>
      <c r="C123" s="11">
        <v>41.4</v>
      </c>
      <c r="D123" s="6">
        <v>40.545900000000003</v>
      </c>
      <c r="E123" s="5">
        <v>8.23</v>
      </c>
      <c r="F123" s="5">
        <v>7.27</v>
      </c>
      <c r="G123" s="5">
        <f t="shared" si="1"/>
        <v>0.96000000000000085</v>
      </c>
      <c r="H123" s="6">
        <v>118.8982</v>
      </c>
      <c r="I123" s="7">
        <v>106.56999969482401</v>
      </c>
      <c r="J123" s="7">
        <v>7.3121685876441003</v>
      </c>
      <c r="K123" s="7">
        <v>0</v>
      </c>
    </row>
    <row r="124" spans="1:11" x14ac:dyDescent="0.3">
      <c r="A124" s="4">
        <v>26359</v>
      </c>
      <c r="B124" s="5">
        <v>3.83</v>
      </c>
      <c r="C124" s="11">
        <v>41.4</v>
      </c>
      <c r="D124" s="6">
        <v>40.826300000000003</v>
      </c>
      <c r="E124" s="5">
        <v>8.24</v>
      </c>
      <c r="F124" s="5">
        <v>7.24</v>
      </c>
      <c r="G124" s="5">
        <f t="shared" si="1"/>
        <v>1</v>
      </c>
      <c r="H124" s="6">
        <v>119.691</v>
      </c>
      <c r="I124" s="7">
        <v>107.199996948242</v>
      </c>
      <c r="J124" s="7">
        <v>10.2203202635748</v>
      </c>
      <c r="K124" s="7">
        <v>0</v>
      </c>
    </row>
    <row r="125" spans="1:11" x14ac:dyDescent="0.3">
      <c r="A125" s="4">
        <v>26390</v>
      </c>
      <c r="B125" s="5">
        <v>4.17</v>
      </c>
      <c r="C125" s="11">
        <v>41.5</v>
      </c>
      <c r="D125" s="6">
        <v>41.2348</v>
      </c>
      <c r="E125" s="5">
        <v>8.24</v>
      </c>
      <c r="F125" s="5">
        <v>7.3</v>
      </c>
      <c r="G125" s="5">
        <f t="shared" si="1"/>
        <v>0.94000000000000039</v>
      </c>
      <c r="H125" s="6">
        <v>121.2319</v>
      </c>
      <c r="I125" s="7">
        <v>107.669998168945</v>
      </c>
      <c r="J125" s="7">
        <v>9.0818891187903006</v>
      </c>
      <c r="K125" s="7">
        <v>0</v>
      </c>
    </row>
    <row r="126" spans="1:11" x14ac:dyDescent="0.3">
      <c r="A126" s="4">
        <v>26420</v>
      </c>
      <c r="B126" s="5">
        <v>4.2699999999999996</v>
      </c>
      <c r="C126" s="11">
        <v>41.6</v>
      </c>
      <c r="D126" s="6">
        <v>41.240499999999997</v>
      </c>
      <c r="E126" s="5">
        <v>8.23</v>
      </c>
      <c r="F126" s="5">
        <v>7.3</v>
      </c>
      <c r="G126" s="5">
        <f t="shared" si="1"/>
        <v>0.9300000000000006</v>
      </c>
      <c r="H126" s="6">
        <v>122.69199999999999</v>
      </c>
      <c r="I126" s="7">
        <v>109.52999877929599</v>
      </c>
      <c r="J126" s="7">
        <v>12.0504386033946</v>
      </c>
      <c r="K126" s="7">
        <v>0</v>
      </c>
    </row>
    <row r="127" spans="1:11" x14ac:dyDescent="0.3">
      <c r="A127" s="4">
        <v>26451</v>
      </c>
      <c r="B127" s="5">
        <v>4.46</v>
      </c>
      <c r="C127" s="11">
        <v>41.7</v>
      </c>
      <c r="D127" s="6">
        <v>41.349699999999999</v>
      </c>
      <c r="E127" s="5">
        <v>8.1999999999999993</v>
      </c>
      <c r="F127" s="5">
        <v>7.23</v>
      </c>
      <c r="G127" s="5">
        <f t="shared" si="1"/>
        <v>0.96999999999999886</v>
      </c>
      <c r="H127" s="6">
        <v>123.7672</v>
      </c>
      <c r="I127" s="7">
        <v>107.139999389648</v>
      </c>
      <c r="J127" s="7">
        <v>8.1252971145126498</v>
      </c>
      <c r="K127" s="7">
        <v>0</v>
      </c>
    </row>
    <row r="128" spans="1:11" x14ac:dyDescent="0.3">
      <c r="A128" s="4">
        <v>26481</v>
      </c>
      <c r="B128" s="5">
        <v>4.55</v>
      </c>
      <c r="C128" s="11">
        <v>41.8</v>
      </c>
      <c r="D128" s="6">
        <v>41.3035</v>
      </c>
      <c r="E128" s="5">
        <v>8.23</v>
      </c>
      <c r="F128" s="5">
        <v>7.21</v>
      </c>
      <c r="G128" s="5">
        <f t="shared" si="1"/>
        <v>1.0200000000000005</v>
      </c>
      <c r="H128" s="6">
        <v>124.68170000000001</v>
      </c>
      <c r="I128" s="7">
        <v>107.389999389648</v>
      </c>
      <c r="J128" s="7">
        <v>11.221158908697401</v>
      </c>
      <c r="K128" s="7">
        <v>0</v>
      </c>
    </row>
    <row r="129" spans="1:14" x14ac:dyDescent="0.3">
      <c r="A129" s="4">
        <v>26512</v>
      </c>
      <c r="B129" s="5">
        <v>4.8099999999999996</v>
      </c>
      <c r="C129" s="11">
        <v>41.9</v>
      </c>
      <c r="D129" s="6">
        <v>41.878999999999998</v>
      </c>
      <c r="E129" s="5">
        <v>8.19</v>
      </c>
      <c r="F129" s="5">
        <v>7.19</v>
      </c>
      <c r="G129" s="5">
        <f t="shared" si="1"/>
        <v>0.99999999999999911</v>
      </c>
      <c r="H129" s="6">
        <v>126.00830000000001</v>
      </c>
      <c r="I129" s="7">
        <v>111.08999633789</v>
      </c>
      <c r="J129" s="7">
        <v>9.9807286566872602</v>
      </c>
      <c r="K129" s="7">
        <v>0</v>
      </c>
    </row>
    <row r="130" spans="1:14" x14ac:dyDescent="0.3">
      <c r="A130" s="4">
        <v>26543</v>
      </c>
      <c r="B130" s="5">
        <v>4.87</v>
      </c>
      <c r="C130" s="11">
        <v>42.1</v>
      </c>
      <c r="D130" s="6">
        <v>42.213200000000001</v>
      </c>
      <c r="E130" s="5">
        <v>8.09</v>
      </c>
      <c r="F130" s="5">
        <v>7.22</v>
      </c>
      <c r="G130" s="5">
        <f t="shared" si="1"/>
        <v>0.87000000000000011</v>
      </c>
      <c r="H130" s="6">
        <v>126.95740000000001</v>
      </c>
      <c r="I130" s="7">
        <v>110.550003051757</v>
      </c>
      <c r="J130" s="7">
        <v>10.038153828558301</v>
      </c>
      <c r="K130" s="7">
        <v>0</v>
      </c>
    </row>
    <row r="131" spans="1:14" x14ac:dyDescent="0.3">
      <c r="A131" s="4">
        <v>26573</v>
      </c>
      <c r="B131" s="5">
        <v>5.05</v>
      </c>
      <c r="C131" s="11">
        <v>42.2</v>
      </c>
      <c r="D131" s="6">
        <v>42.749400000000001</v>
      </c>
      <c r="E131" s="5">
        <v>8.06</v>
      </c>
      <c r="F131" s="5">
        <v>7.21</v>
      </c>
      <c r="G131" s="5">
        <f t="shared" ref="G131:G194" si="2">E131-F131</f>
        <v>0.85000000000000053</v>
      </c>
      <c r="H131" s="6">
        <v>129.0908</v>
      </c>
      <c r="I131" s="7">
        <v>111.58000183105401</v>
      </c>
      <c r="J131" s="7">
        <v>12.8008460218755</v>
      </c>
      <c r="K131" s="7">
        <v>0</v>
      </c>
    </row>
    <row r="132" spans="1:14" x14ac:dyDescent="0.3">
      <c r="A132" s="4">
        <v>26604</v>
      </c>
      <c r="B132" s="5">
        <v>5.0599999999999996</v>
      </c>
      <c r="C132" s="11">
        <v>42.4</v>
      </c>
      <c r="D132" s="6">
        <v>43.254800000000003</v>
      </c>
      <c r="E132" s="5">
        <v>7.99</v>
      </c>
      <c r="F132" s="5">
        <v>7.12</v>
      </c>
      <c r="G132" s="5">
        <f t="shared" si="2"/>
        <v>0.87000000000000011</v>
      </c>
      <c r="H132" s="6">
        <v>131.59010000000001</v>
      </c>
      <c r="I132" s="7">
        <v>116.669998168945</v>
      </c>
      <c r="J132" s="7">
        <v>9.0506807963906795</v>
      </c>
      <c r="K132" s="7">
        <v>0</v>
      </c>
    </row>
    <row r="133" spans="1:14" x14ac:dyDescent="0.3">
      <c r="A133" s="4">
        <v>26634</v>
      </c>
      <c r="B133" s="5">
        <v>5.33</v>
      </c>
      <c r="C133" s="11">
        <v>42.5</v>
      </c>
      <c r="D133" s="6">
        <v>43.736699999999999</v>
      </c>
      <c r="E133" s="5">
        <v>7.93</v>
      </c>
      <c r="F133" s="5">
        <v>7.08</v>
      </c>
      <c r="G133" s="5">
        <f t="shared" si="2"/>
        <v>0.84999999999999964</v>
      </c>
      <c r="H133" s="6">
        <v>133.10929999999999</v>
      </c>
      <c r="I133" s="7">
        <v>118.050003051757</v>
      </c>
      <c r="J133" s="7">
        <v>10.688617428775901</v>
      </c>
      <c r="K133" s="7">
        <v>0</v>
      </c>
    </row>
    <row r="134" spans="1:14" x14ac:dyDescent="0.3">
      <c r="A134" s="4">
        <v>26665</v>
      </c>
      <c r="B134" s="5">
        <v>5.94</v>
      </c>
      <c r="C134" s="11">
        <v>42.7</v>
      </c>
      <c r="D134" s="6">
        <v>44.052900000000001</v>
      </c>
      <c r="E134" s="5">
        <v>7.9</v>
      </c>
      <c r="F134" s="5">
        <v>7.15</v>
      </c>
      <c r="G134" s="5">
        <f t="shared" si="2"/>
        <v>0.75</v>
      </c>
      <c r="H134" s="6">
        <v>135.4135</v>
      </c>
      <c r="I134" s="7">
        <v>116.02999877929599</v>
      </c>
      <c r="J134" s="7">
        <v>10.070680967212301</v>
      </c>
      <c r="K134" s="7">
        <v>0</v>
      </c>
    </row>
    <row r="135" spans="1:14" x14ac:dyDescent="0.3">
      <c r="A135" s="4">
        <v>26696</v>
      </c>
      <c r="B135" s="5">
        <v>6.58</v>
      </c>
      <c r="C135" s="11">
        <v>43</v>
      </c>
      <c r="D135" s="6">
        <v>44.682699999999997</v>
      </c>
      <c r="E135" s="5">
        <v>7.97</v>
      </c>
      <c r="F135" s="5">
        <v>7.22</v>
      </c>
      <c r="G135" s="5">
        <f t="shared" si="2"/>
        <v>0.75</v>
      </c>
      <c r="H135" s="6">
        <v>140.79830000000001</v>
      </c>
      <c r="I135" s="7">
        <v>111.680000305175</v>
      </c>
      <c r="J135" s="7">
        <v>16.334824749715999</v>
      </c>
      <c r="K135" s="7">
        <v>0</v>
      </c>
    </row>
    <row r="136" spans="1:14" x14ac:dyDescent="0.3">
      <c r="A136" s="4">
        <v>26724</v>
      </c>
      <c r="B136" s="5">
        <v>7.09</v>
      </c>
      <c r="C136" s="11">
        <v>43.4</v>
      </c>
      <c r="D136" s="6">
        <v>44.704500000000003</v>
      </c>
      <c r="E136" s="5">
        <v>8.0299999999999994</v>
      </c>
      <c r="F136" s="5">
        <v>7.29</v>
      </c>
      <c r="G136" s="5">
        <f t="shared" si="2"/>
        <v>0.73999999999999932</v>
      </c>
      <c r="H136" s="6">
        <v>144.95760000000001</v>
      </c>
      <c r="I136" s="7">
        <v>111.51999664306599</v>
      </c>
      <c r="J136" s="7">
        <v>17.2908767740334</v>
      </c>
      <c r="K136" s="7">
        <v>0</v>
      </c>
      <c r="N136" s="1">
        <f>SUM(L775)</f>
        <v>0</v>
      </c>
    </row>
    <row r="137" spans="1:14" x14ac:dyDescent="0.3">
      <c r="A137" s="4">
        <v>26755</v>
      </c>
      <c r="B137" s="5">
        <v>7.12</v>
      </c>
      <c r="C137" s="11">
        <v>43.7</v>
      </c>
      <c r="D137" s="6">
        <v>44.6387</v>
      </c>
      <c r="E137" s="5">
        <v>8.09</v>
      </c>
      <c r="F137" s="5">
        <v>7.26</v>
      </c>
      <c r="G137" s="5">
        <f t="shared" si="2"/>
        <v>0.83000000000000007</v>
      </c>
      <c r="H137" s="6">
        <v>147.5343</v>
      </c>
      <c r="I137" s="7">
        <v>106.970001220703</v>
      </c>
      <c r="J137" s="7">
        <v>17.465199600101698</v>
      </c>
      <c r="K137" s="7">
        <v>0</v>
      </c>
    </row>
    <row r="138" spans="1:14" x14ac:dyDescent="0.3">
      <c r="A138" s="4">
        <v>26785</v>
      </c>
      <c r="B138" s="5">
        <v>7.84</v>
      </c>
      <c r="C138" s="11">
        <v>43.9</v>
      </c>
      <c r="D138" s="6">
        <v>44.942900000000002</v>
      </c>
      <c r="E138" s="5">
        <v>8.06</v>
      </c>
      <c r="F138" s="5">
        <v>7.29</v>
      </c>
      <c r="G138" s="5">
        <f t="shared" si="2"/>
        <v>0.77000000000000046</v>
      </c>
      <c r="H138" s="6">
        <v>149.9659</v>
      </c>
      <c r="I138" s="7">
        <v>104.949996948242</v>
      </c>
      <c r="J138" s="7">
        <v>24.195438764257801</v>
      </c>
      <c r="K138" s="7">
        <v>1</v>
      </c>
    </row>
    <row r="139" spans="1:14" x14ac:dyDescent="0.3">
      <c r="A139" s="4">
        <v>26816</v>
      </c>
      <c r="B139" s="5">
        <v>8.49</v>
      </c>
      <c r="C139" s="11">
        <v>44.2</v>
      </c>
      <c r="D139" s="6">
        <v>45.003500000000003</v>
      </c>
      <c r="E139" s="5">
        <v>8.1300000000000008</v>
      </c>
      <c r="F139" s="5">
        <v>7.37</v>
      </c>
      <c r="G139" s="5">
        <f t="shared" si="2"/>
        <v>0.76000000000000068</v>
      </c>
      <c r="H139" s="6">
        <v>152.82919999999999</v>
      </c>
      <c r="I139" s="7">
        <v>104.26000213623</v>
      </c>
      <c r="J139" s="7">
        <v>20.867786502101701</v>
      </c>
      <c r="K139" s="7">
        <v>1</v>
      </c>
    </row>
    <row r="140" spans="1:14" x14ac:dyDescent="0.3">
      <c r="A140" s="4">
        <v>26846</v>
      </c>
      <c r="B140" s="5">
        <v>10.4</v>
      </c>
      <c r="C140" s="11">
        <v>44.2</v>
      </c>
      <c r="D140" s="6">
        <v>45.163600000000002</v>
      </c>
      <c r="E140" s="5">
        <v>8.24</v>
      </c>
      <c r="F140" s="5">
        <v>7.45</v>
      </c>
      <c r="G140" s="5">
        <f t="shared" si="2"/>
        <v>0.79</v>
      </c>
      <c r="H140" s="6">
        <v>155.32910000000001</v>
      </c>
      <c r="I140" s="7">
        <v>108.220001220703</v>
      </c>
      <c r="J140" s="7">
        <v>18.9833868077971</v>
      </c>
      <c r="K140" s="7">
        <v>0</v>
      </c>
    </row>
    <row r="141" spans="1:14" x14ac:dyDescent="0.3">
      <c r="A141" s="4">
        <v>26877</v>
      </c>
      <c r="B141" s="5">
        <v>10.5</v>
      </c>
      <c r="C141" s="11">
        <v>45</v>
      </c>
      <c r="D141" s="6">
        <v>45.101900000000001</v>
      </c>
      <c r="E141" s="5">
        <v>8.5299999999999994</v>
      </c>
      <c r="F141" s="5">
        <v>7.68</v>
      </c>
      <c r="G141" s="5">
        <f t="shared" si="2"/>
        <v>0.84999999999999964</v>
      </c>
      <c r="H141" s="6">
        <v>158.06809999999999</v>
      </c>
      <c r="I141" s="7">
        <v>104.25</v>
      </c>
      <c r="J141" s="7">
        <v>13.7859507114613</v>
      </c>
      <c r="K141" s="7">
        <v>0</v>
      </c>
    </row>
    <row r="142" spans="1:14" x14ac:dyDescent="0.3">
      <c r="A142" s="4">
        <v>26908</v>
      </c>
      <c r="B142" s="5">
        <v>10.78</v>
      </c>
      <c r="C142" s="11">
        <v>45.2</v>
      </c>
      <c r="D142" s="6">
        <v>45.462400000000002</v>
      </c>
      <c r="E142" s="5">
        <v>8.6300000000000008</v>
      </c>
      <c r="F142" s="5">
        <v>7.63</v>
      </c>
      <c r="G142" s="5">
        <f t="shared" si="2"/>
        <v>1.0000000000000009</v>
      </c>
      <c r="H142" s="6">
        <v>158.50659999999999</v>
      </c>
      <c r="I142" s="7">
        <v>108.430000305175</v>
      </c>
      <c r="J142" s="7">
        <v>13.7435944744176</v>
      </c>
      <c r="K142" s="7">
        <v>0</v>
      </c>
    </row>
    <row r="143" spans="1:14" x14ac:dyDescent="0.3">
      <c r="A143" s="4">
        <v>26938</v>
      </c>
      <c r="B143" s="5">
        <v>10.01</v>
      </c>
      <c r="C143" s="11">
        <v>45.6</v>
      </c>
      <c r="D143" s="6">
        <v>45.847000000000001</v>
      </c>
      <c r="E143" s="5">
        <v>8.41</v>
      </c>
      <c r="F143" s="5">
        <v>7.6</v>
      </c>
      <c r="G143" s="5">
        <f t="shared" si="2"/>
        <v>0.8100000000000005</v>
      </c>
      <c r="H143" s="6">
        <v>159.1694</v>
      </c>
      <c r="I143" s="7">
        <v>108.290000915527</v>
      </c>
      <c r="J143" s="7">
        <v>15.6982751457204</v>
      </c>
      <c r="K143" s="7">
        <v>0</v>
      </c>
    </row>
    <row r="144" spans="1:14" x14ac:dyDescent="0.3">
      <c r="A144" s="4">
        <v>26969</v>
      </c>
      <c r="B144" s="5">
        <v>10.029999999999999</v>
      </c>
      <c r="C144" s="11">
        <v>45.9</v>
      </c>
      <c r="D144" s="6">
        <v>46.055300000000003</v>
      </c>
      <c r="E144" s="5">
        <v>8.42</v>
      </c>
      <c r="F144" s="5">
        <v>7.67</v>
      </c>
      <c r="G144" s="5">
        <f t="shared" si="2"/>
        <v>0.75</v>
      </c>
      <c r="H144" s="6">
        <v>159.93530000000001</v>
      </c>
      <c r="I144" s="7">
        <v>95.959999084472599</v>
      </c>
      <c r="J144" s="7">
        <v>27.452133284792001</v>
      </c>
      <c r="K144" s="7">
        <v>1</v>
      </c>
    </row>
    <row r="145" spans="1:11" x14ac:dyDescent="0.3">
      <c r="A145" s="4">
        <v>26999</v>
      </c>
      <c r="B145" s="5">
        <v>9.9499999999999993</v>
      </c>
      <c r="C145" s="11">
        <v>46.3</v>
      </c>
      <c r="D145" s="6">
        <v>45.923000000000002</v>
      </c>
      <c r="E145" s="5">
        <v>8.48</v>
      </c>
      <c r="F145" s="5">
        <v>7.68</v>
      </c>
      <c r="G145" s="5">
        <f t="shared" si="2"/>
        <v>0.80000000000000071</v>
      </c>
      <c r="H145" s="6">
        <v>161.21129999999999</v>
      </c>
      <c r="I145" s="7">
        <v>97.550003051757798</v>
      </c>
      <c r="J145" s="7">
        <v>33.566525554038797</v>
      </c>
      <c r="K145" s="7">
        <v>1</v>
      </c>
    </row>
    <row r="146" spans="1:11" x14ac:dyDescent="0.3">
      <c r="A146" s="4">
        <v>27030</v>
      </c>
      <c r="B146" s="5">
        <v>9.65</v>
      </c>
      <c r="C146" s="11">
        <v>46.8</v>
      </c>
      <c r="D146" s="6">
        <v>45.620399999999997</v>
      </c>
      <c r="E146" s="5">
        <v>8.48</v>
      </c>
      <c r="F146" s="5">
        <v>7.83</v>
      </c>
      <c r="G146" s="5">
        <f t="shared" si="2"/>
        <v>0.65000000000000036</v>
      </c>
      <c r="H146" s="6">
        <v>163.02260000000001</v>
      </c>
      <c r="I146" s="7">
        <v>96.569999694824205</v>
      </c>
      <c r="J146" s="7">
        <v>25.618109982431498</v>
      </c>
      <c r="K146" s="7">
        <v>1</v>
      </c>
    </row>
    <row r="147" spans="1:11" x14ac:dyDescent="0.3">
      <c r="A147" s="4">
        <v>27061</v>
      </c>
      <c r="B147" s="5">
        <v>8.9700000000000006</v>
      </c>
      <c r="C147" s="11">
        <v>47.3</v>
      </c>
      <c r="D147" s="6">
        <v>45.475900000000003</v>
      </c>
      <c r="E147" s="5">
        <v>8.5299999999999994</v>
      </c>
      <c r="F147" s="5">
        <v>7.85</v>
      </c>
      <c r="G147" s="5">
        <f t="shared" si="2"/>
        <v>0.67999999999999972</v>
      </c>
      <c r="H147" s="6">
        <v>164.77199999999999</v>
      </c>
      <c r="I147" s="7">
        <v>96.220001220703097</v>
      </c>
      <c r="J147" s="7">
        <v>20.553066627633498</v>
      </c>
      <c r="K147" s="7">
        <v>0</v>
      </c>
    </row>
    <row r="148" spans="1:11" x14ac:dyDescent="0.3">
      <c r="A148" s="4">
        <v>27089</v>
      </c>
      <c r="B148" s="5">
        <v>9.35</v>
      </c>
      <c r="C148" s="11">
        <v>47.8</v>
      </c>
      <c r="D148" s="6">
        <v>45.477699999999999</v>
      </c>
      <c r="E148" s="5">
        <v>8.6199999999999992</v>
      </c>
      <c r="F148" s="5">
        <v>8.01</v>
      </c>
      <c r="G148" s="5">
        <f t="shared" si="2"/>
        <v>0.60999999999999943</v>
      </c>
      <c r="H148" s="6">
        <v>168.8168</v>
      </c>
      <c r="I148" s="7">
        <v>93.980003356933594</v>
      </c>
      <c r="J148" s="7">
        <v>18.354798296830001</v>
      </c>
      <c r="K148" s="7">
        <v>0</v>
      </c>
    </row>
    <row r="149" spans="1:11" x14ac:dyDescent="0.3">
      <c r="A149" s="4">
        <v>27120</v>
      </c>
      <c r="B149" s="5">
        <v>10.51</v>
      </c>
      <c r="C149" s="11">
        <v>48.1</v>
      </c>
      <c r="D149" s="6">
        <v>45.345100000000002</v>
      </c>
      <c r="E149" s="5">
        <v>8.8699999999999992</v>
      </c>
      <c r="F149" s="5">
        <v>8.25</v>
      </c>
      <c r="G149" s="5">
        <f t="shared" si="2"/>
        <v>0.61999999999999922</v>
      </c>
      <c r="H149" s="6">
        <v>174.99090000000001</v>
      </c>
      <c r="I149" s="7">
        <v>90.309997558593693</v>
      </c>
      <c r="J149" s="7">
        <v>18.299611393043399</v>
      </c>
      <c r="K149" s="7">
        <v>0</v>
      </c>
    </row>
    <row r="150" spans="1:11" x14ac:dyDescent="0.3">
      <c r="A150" s="4">
        <v>27150</v>
      </c>
      <c r="B150" s="5">
        <v>11.31</v>
      </c>
      <c r="C150" s="11">
        <v>48.6</v>
      </c>
      <c r="D150" s="6">
        <v>45.7044</v>
      </c>
      <c r="E150" s="5">
        <v>9.0500000000000007</v>
      </c>
      <c r="F150" s="5">
        <v>8.3699999999999992</v>
      </c>
      <c r="G150" s="5">
        <f t="shared" si="2"/>
        <v>0.68000000000000149</v>
      </c>
      <c r="H150" s="6">
        <v>177.6309</v>
      </c>
      <c r="I150" s="7">
        <v>87.279998779296804</v>
      </c>
      <c r="J150" s="7">
        <v>19.819071403563299</v>
      </c>
      <c r="K150" s="7">
        <v>0</v>
      </c>
    </row>
    <row r="151" spans="1:11" x14ac:dyDescent="0.3">
      <c r="A151" s="4">
        <v>27181</v>
      </c>
      <c r="B151" s="5">
        <v>11.93</v>
      </c>
      <c r="C151" s="11">
        <v>49</v>
      </c>
      <c r="D151" s="6">
        <v>45.623800000000003</v>
      </c>
      <c r="E151" s="5">
        <v>9.27</v>
      </c>
      <c r="F151" s="5">
        <v>8.4700000000000006</v>
      </c>
      <c r="G151" s="5">
        <f t="shared" si="2"/>
        <v>0.79999999999999893</v>
      </c>
      <c r="H151" s="6">
        <v>180.10820000000001</v>
      </c>
      <c r="I151" s="7">
        <v>86</v>
      </c>
      <c r="J151" s="7">
        <v>22.004227836839402</v>
      </c>
      <c r="K151" s="7">
        <v>1</v>
      </c>
    </row>
    <row r="152" spans="1:11" x14ac:dyDescent="0.3">
      <c r="A152" s="4">
        <v>27211</v>
      </c>
      <c r="B152" s="5">
        <v>12.92</v>
      </c>
      <c r="C152" s="11">
        <v>49.3</v>
      </c>
      <c r="D152" s="6">
        <v>45.722099999999998</v>
      </c>
      <c r="E152" s="5">
        <v>9.48</v>
      </c>
      <c r="F152" s="5">
        <v>8.7200000000000006</v>
      </c>
      <c r="G152" s="5">
        <f t="shared" si="2"/>
        <v>0.75999999999999979</v>
      </c>
      <c r="H152" s="6">
        <v>183.9873</v>
      </c>
      <c r="I152" s="7">
        <v>79.309997558593693</v>
      </c>
      <c r="J152" s="7">
        <v>29.7598467730819</v>
      </c>
      <c r="K152" s="7">
        <v>1</v>
      </c>
    </row>
    <row r="153" spans="1:11" x14ac:dyDescent="0.3">
      <c r="A153" s="4">
        <v>27242</v>
      </c>
      <c r="B153" s="5">
        <v>12.01</v>
      </c>
      <c r="C153" s="11">
        <v>49.9</v>
      </c>
      <c r="D153" s="6">
        <v>45.236600000000003</v>
      </c>
      <c r="E153" s="5">
        <v>9.77</v>
      </c>
      <c r="F153" s="5">
        <v>9</v>
      </c>
      <c r="G153" s="5">
        <f t="shared" si="2"/>
        <v>0.76999999999999957</v>
      </c>
      <c r="H153" s="6">
        <v>186.3819</v>
      </c>
      <c r="I153" s="7">
        <v>72.150001525878906</v>
      </c>
      <c r="J153" s="7">
        <v>28.983406834607099</v>
      </c>
      <c r="K153" s="7">
        <v>1</v>
      </c>
    </row>
    <row r="154" spans="1:11" x14ac:dyDescent="0.3">
      <c r="A154" s="4">
        <v>27273</v>
      </c>
      <c r="B154" s="5">
        <v>11.34</v>
      </c>
      <c r="C154" s="11">
        <v>50.6</v>
      </c>
      <c r="D154" s="6">
        <v>45.236499999999999</v>
      </c>
      <c r="E154" s="5">
        <v>10.18</v>
      </c>
      <c r="F154" s="5">
        <v>9.24</v>
      </c>
      <c r="G154" s="5">
        <f t="shared" si="2"/>
        <v>0.9399999999999995</v>
      </c>
      <c r="H154" s="6">
        <v>187.9941</v>
      </c>
      <c r="I154" s="7">
        <v>63.540000915527301</v>
      </c>
      <c r="J154" s="7">
        <v>38.630358337986699</v>
      </c>
      <c r="K154" s="7">
        <v>1</v>
      </c>
    </row>
    <row r="155" spans="1:11" x14ac:dyDescent="0.3">
      <c r="A155" s="4">
        <v>27303</v>
      </c>
      <c r="B155" s="5">
        <v>10.06</v>
      </c>
      <c r="C155" s="11">
        <v>51</v>
      </c>
      <c r="D155" s="6">
        <v>45.113300000000002</v>
      </c>
      <c r="E155" s="5">
        <v>10.48</v>
      </c>
      <c r="F155" s="5">
        <v>9.27</v>
      </c>
      <c r="G155" s="5">
        <f t="shared" si="2"/>
        <v>1.2100000000000009</v>
      </c>
      <c r="H155" s="6">
        <v>189.2302</v>
      </c>
      <c r="I155" s="7">
        <v>73.900001525878906</v>
      </c>
      <c r="J155" s="7">
        <v>40.269570825518301</v>
      </c>
      <c r="K155" s="7">
        <v>1</v>
      </c>
    </row>
    <row r="156" spans="1:11" x14ac:dyDescent="0.3">
      <c r="A156" s="4">
        <v>27334</v>
      </c>
      <c r="B156" s="5">
        <v>9.4499999999999993</v>
      </c>
      <c r="C156" s="11">
        <v>51.5</v>
      </c>
      <c r="D156" s="6">
        <v>43.627800000000001</v>
      </c>
      <c r="E156" s="5">
        <v>10.6</v>
      </c>
      <c r="F156" s="5">
        <v>8.89</v>
      </c>
      <c r="G156" s="5">
        <f t="shared" si="2"/>
        <v>1.7099999999999991</v>
      </c>
      <c r="H156" s="6">
        <v>190.40469999999999</v>
      </c>
      <c r="I156" s="7">
        <v>69.970001220703097</v>
      </c>
      <c r="J156" s="7">
        <v>26.8921341218518</v>
      </c>
      <c r="K156" s="7">
        <v>1</v>
      </c>
    </row>
    <row r="157" spans="1:11" x14ac:dyDescent="0.3">
      <c r="A157" s="4">
        <v>27364</v>
      </c>
      <c r="B157" s="5">
        <v>8.5299999999999994</v>
      </c>
      <c r="C157" s="11">
        <v>51.9</v>
      </c>
      <c r="D157" s="6">
        <v>42.0533</v>
      </c>
      <c r="E157" s="5">
        <v>10.63</v>
      </c>
      <c r="F157" s="5">
        <v>8.89</v>
      </c>
      <c r="G157" s="5">
        <f t="shared" si="2"/>
        <v>1.7400000000000002</v>
      </c>
      <c r="H157" s="6">
        <v>191.27610000000001</v>
      </c>
      <c r="I157" s="7">
        <v>68.559997558593693</v>
      </c>
      <c r="J157" s="7">
        <v>27.670286145077199</v>
      </c>
      <c r="K157" s="7">
        <v>1</v>
      </c>
    </row>
    <row r="158" spans="1:11" x14ac:dyDescent="0.3">
      <c r="A158" s="4">
        <v>27395</v>
      </c>
      <c r="B158" s="5">
        <v>7.13</v>
      </c>
      <c r="C158" s="11">
        <v>52.3</v>
      </c>
      <c r="D158" s="6">
        <v>41.467599999999997</v>
      </c>
      <c r="E158" s="5">
        <v>10.81</v>
      </c>
      <c r="F158" s="5">
        <v>8.83</v>
      </c>
      <c r="G158" s="5">
        <f t="shared" si="2"/>
        <v>1.9800000000000004</v>
      </c>
      <c r="H158" s="6">
        <v>191.58690000000001</v>
      </c>
      <c r="I158" s="7">
        <v>76.980003356933594</v>
      </c>
      <c r="J158" s="7">
        <v>25.335456427749801</v>
      </c>
      <c r="K158" s="7">
        <v>1</v>
      </c>
    </row>
    <row r="159" spans="1:11" x14ac:dyDescent="0.3">
      <c r="A159" s="4">
        <v>27426</v>
      </c>
      <c r="B159" s="5">
        <v>6.24</v>
      </c>
      <c r="C159" s="11">
        <v>52.6</v>
      </c>
      <c r="D159" s="6">
        <v>40.516500000000001</v>
      </c>
      <c r="E159" s="5">
        <v>10.65</v>
      </c>
      <c r="F159" s="5">
        <v>8.6199999999999992</v>
      </c>
      <c r="G159" s="5">
        <f t="shared" si="2"/>
        <v>2.0300000000000011</v>
      </c>
      <c r="H159" s="6">
        <v>190.38050000000001</v>
      </c>
      <c r="I159" s="7">
        <v>81.589996337890597</v>
      </c>
      <c r="J159" s="7">
        <v>21.162125099605401</v>
      </c>
      <c r="K159" s="7">
        <v>1</v>
      </c>
    </row>
    <row r="160" spans="1:11" x14ac:dyDescent="0.3">
      <c r="A160" s="4">
        <v>27454</v>
      </c>
      <c r="B160" s="5">
        <v>5.54</v>
      </c>
      <c r="C160" s="11">
        <v>52.8</v>
      </c>
      <c r="D160" s="6">
        <v>40.063800000000001</v>
      </c>
      <c r="E160" s="5">
        <v>10.48</v>
      </c>
      <c r="F160" s="5">
        <v>8.67</v>
      </c>
      <c r="G160" s="5">
        <f t="shared" si="2"/>
        <v>1.8100000000000005</v>
      </c>
      <c r="H160" s="6">
        <v>188.1191</v>
      </c>
      <c r="I160" s="7">
        <v>83.360000610351506</v>
      </c>
      <c r="J160" s="7">
        <v>21.837440459842501</v>
      </c>
      <c r="K160" s="7">
        <v>1</v>
      </c>
    </row>
    <row r="161" spans="1:11" x14ac:dyDescent="0.3">
      <c r="A161" s="4">
        <v>27485</v>
      </c>
      <c r="B161" s="5">
        <v>5.49</v>
      </c>
      <c r="C161" s="11">
        <v>53</v>
      </c>
      <c r="D161" s="6">
        <v>40.157299999999999</v>
      </c>
      <c r="E161" s="5">
        <v>10.58</v>
      </c>
      <c r="F161" s="5">
        <v>8.9499999999999993</v>
      </c>
      <c r="G161" s="5">
        <f t="shared" si="2"/>
        <v>1.6300000000000008</v>
      </c>
      <c r="H161" s="6">
        <v>187.4109</v>
      </c>
      <c r="I161" s="7">
        <v>87.300003051757798</v>
      </c>
      <c r="J161" s="7">
        <v>20.5229119194289</v>
      </c>
      <c r="K161" s="7">
        <v>0</v>
      </c>
    </row>
    <row r="162" spans="1:11" x14ac:dyDescent="0.3">
      <c r="A162" s="4">
        <v>27515</v>
      </c>
      <c r="B162" s="5">
        <v>5.22</v>
      </c>
      <c r="C162" s="11">
        <v>53.1</v>
      </c>
      <c r="D162" s="6">
        <v>40.025300000000001</v>
      </c>
      <c r="E162" s="5">
        <v>10.69</v>
      </c>
      <c r="F162" s="5">
        <v>8.9</v>
      </c>
      <c r="G162" s="5">
        <f t="shared" si="2"/>
        <v>1.7899999999999991</v>
      </c>
      <c r="H162" s="6">
        <v>186.07400000000001</v>
      </c>
      <c r="I162" s="7">
        <v>91.150001525878906</v>
      </c>
      <c r="J162" s="7">
        <v>18.579485539242398</v>
      </c>
      <c r="K162" s="7">
        <v>0</v>
      </c>
    </row>
    <row r="163" spans="1:11" x14ac:dyDescent="0.3">
      <c r="A163" s="4">
        <v>27546</v>
      </c>
      <c r="B163" s="5">
        <v>5.55</v>
      </c>
      <c r="C163" s="11">
        <v>53.5</v>
      </c>
      <c r="D163" s="6">
        <v>40.277200000000001</v>
      </c>
      <c r="E163" s="5">
        <v>10.62</v>
      </c>
      <c r="F163" s="5">
        <v>8.77</v>
      </c>
      <c r="G163" s="5">
        <f t="shared" si="2"/>
        <v>1.8499999999999996</v>
      </c>
      <c r="H163" s="6">
        <v>184.63800000000001</v>
      </c>
      <c r="I163" s="7">
        <v>95.190002441406193</v>
      </c>
      <c r="J163" s="7">
        <v>15.904900150845</v>
      </c>
      <c r="K163" s="7">
        <v>0</v>
      </c>
    </row>
    <row r="164" spans="1:11" x14ac:dyDescent="0.3">
      <c r="A164" s="4">
        <v>27576</v>
      </c>
      <c r="B164" s="5">
        <v>6.1</v>
      </c>
      <c r="C164" s="11">
        <v>54</v>
      </c>
      <c r="D164" s="6">
        <v>40.699399999999997</v>
      </c>
      <c r="E164" s="5">
        <v>10.55</v>
      </c>
      <c r="F164" s="5">
        <v>8.84</v>
      </c>
      <c r="G164" s="5">
        <f t="shared" si="2"/>
        <v>1.7100000000000009</v>
      </c>
      <c r="H164" s="6">
        <v>183.65100000000001</v>
      </c>
      <c r="I164" s="7">
        <v>88.75</v>
      </c>
      <c r="J164" s="7">
        <v>14.035041348988999</v>
      </c>
      <c r="K164" s="7">
        <v>0</v>
      </c>
    </row>
    <row r="165" spans="1:11" x14ac:dyDescent="0.3">
      <c r="A165" s="4">
        <v>27607</v>
      </c>
      <c r="B165" s="5">
        <v>6.14</v>
      </c>
      <c r="C165" s="11">
        <v>54.2</v>
      </c>
      <c r="D165" s="6">
        <v>41.099800000000002</v>
      </c>
      <c r="E165" s="5">
        <v>10.59</v>
      </c>
      <c r="F165" s="5">
        <v>8.9499999999999993</v>
      </c>
      <c r="G165" s="5">
        <f t="shared" si="2"/>
        <v>1.6400000000000006</v>
      </c>
      <c r="H165" s="6">
        <v>182.9282</v>
      </c>
      <c r="I165" s="7">
        <v>86.879997253417898</v>
      </c>
      <c r="J165" s="7">
        <v>21.634779940470299</v>
      </c>
      <c r="K165" s="7">
        <v>1</v>
      </c>
    </row>
    <row r="166" spans="1:11" x14ac:dyDescent="0.3">
      <c r="A166" s="4">
        <v>27638</v>
      </c>
      <c r="B166" s="5">
        <v>6.24</v>
      </c>
      <c r="C166" s="11">
        <v>54.6</v>
      </c>
      <c r="D166" s="6">
        <v>41.630400000000002</v>
      </c>
      <c r="E166" s="5">
        <v>10.61</v>
      </c>
      <c r="F166" s="5">
        <v>8.9499999999999993</v>
      </c>
      <c r="G166" s="5">
        <f t="shared" si="2"/>
        <v>1.6600000000000001</v>
      </c>
      <c r="H166" s="6">
        <v>182.822</v>
      </c>
      <c r="I166" s="7">
        <v>83.870002746582003</v>
      </c>
      <c r="J166" s="7">
        <v>21.2525034951897</v>
      </c>
      <c r="K166" s="7">
        <v>1</v>
      </c>
    </row>
    <row r="167" spans="1:11" x14ac:dyDescent="0.3">
      <c r="A167" s="4">
        <v>27668</v>
      </c>
      <c r="B167" s="5">
        <v>5.82</v>
      </c>
      <c r="C167" s="11">
        <v>54.9</v>
      </c>
      <c r="D167" s="6">
        <v>41.813499999999998</v>
      </c>
      <c r="E167" s="5">
        <v>10.62</v>
      </c>
      <c r="F167" s="5">
        <v>8.86</v>
      </c>
      <c r="G167" s="5">
        <f t="shared" si="2"/>
        <v>1.7599999999999998</v>
      </c>
      <c r="H167" s="6">
        <v>182.71420000000001</v>
      </c>
      <c r="I167" s="7">
        <v>89.040000915527301</v>
      </c>
      <c r="J167" s="7">
        <v>19.0443287657335</v>
      </c>
      <c r="K167" s="7">
        <v>0</v>
      </c>
    </row>
    <row r="168" spans="1:11" x14ac:dyDescent="0.3">
      <c r="A168" s="4">
        <v>27699</v>
      </c>
      <c r="B168" s="5">
        <v>5.22</v>
      </c>
      <c r="C168" s="11">
        <v>55.3</v>
      </c>
      <c r="D168" s="6">
        <v>41.869700000000002</v>
      </c>
      <c r="E168" s="5">
        <v>10.56</v>
      </c>
      <c r="F168" s="5">
        <v>8.7799999999999994</v>
      </c>
      <c r="G168" s="5">
        <f t="shared" si="2"/>
        <v>1.7800000000000011</v>
      </c>
      <c r="H168" s="6">
        <v>182.6189</v>
      </c>
      <c r="I168" s="7">
        <v>91.239997863769503</v>
      </c>
      <c r="J168" s="7">
        <v>13.2038756374003</v>
      </c>
      <c r="K168" s="7">
        <v>0</v>
      </c>
    </row>
    <row r="169" spans="1:11" x14ac:dyDescent="0.3">
      <c r="A169" s="4">
        <v>27729</v>
      </c>
      <c r="B169" s="5">
        <v>5.2</v>
      </c>
      <c r="C169" s="11">
        <v>55.6</v>
      </c>
      <c r="D169" s="6">
        <v>42.441400000000002</v>
      </c>
      <c r="E169" s="5">
        <v>10.56</v>
      </c>
      <c r="F169" s="5">
        <v>8.7899999999999991</v>
      </c>
      <c r="G169" s="5">
        <f t="shared" si="2"/>
        <v>1.7700000000000014</v>
      </c>
      <c r="H169" s="6">
        <v>183.3586</v>
      </c>
      <c r="I169" s="7">
        <v>90.190002441406193</v>
      </c>
      <c r="J169" s="7">
        <v>16.004922733839599</v>
      </c>
      <c r="K169" s="7">
        <v>0</v>
      </c>
    </row>
    <row r="170" spans="1:11" x14ac:dyDescent="0.3">
      <c r="A170" s="4">
        <v>27760</v>
      </c>
      <c r="B170" s="5">
        <v>4.87</v>
      </c>
      <c r="C170" s="11">
        <v>55.8</v>
      </c>
      <c r="D170" s="6">
        <v>43.001199999999997</v>
      </c>
      <c r="E170" s="5">
        <v>10.41</v>
      </c>
      <c r="F170" s="5">
        <v>8.6</v>
      </c>
      <c r="G170" s="5">
        <f t="shared" si="2"/>
        <v>1.8100000000000005</v>
      </c>
      <c r="H170" s="6">
        <v>182.6481</v>
      </c>
      <c r="I170" s="7">
        <v>100.86000061035099</v>
      </c>
      <c r="J170" s="7">
        <v>16.552895854321498</v>
      </c>
      <c r="K170" s="7">
        <v>0</v>
      </c>
    </row>
    <row r="171" spans="1:11" x14ac:dyDescent="0.3">
      <c r="A171" s="4">
        <v>27791</v>
      </c>
      <c r="B171" s="5">
        <v>4.7699999999999996</v>
      </c>
      <c r="C171" s="11">
        <v>55.9</v>
      </c>
      <c r="D171" s="6">
        <v>43.422899999999998</v>
      </c>
      <c r="E171" s="5">
        <v>10.24</v>
      </c>
      <c r="F171" s="5">
        <v>8.5500000000000007</v>
      </c>
      <c r="G171" s="5">
        <f t="shared" si="2"/>
        <v>1.6899999999999995</v>
      </c>
      <c r="H171" s="6">
        <v>182.0444</v>
      </c>
      <c r="I171" s="7">
        <v>99.709999084472599</v>
      </c>
      <c r="J171" s="7">
        <v>16.481699819974899</v>
      </c>
      <c r="K171" s="7">
        <v>0</v>
      </c>
    </row>
    <row r="172" spans="1:11" x14ac:dyDescent="0.3">
      <c r="A172" s="4">
        <v>27820</v>
      </c>
      <c r="B172" s="5">
        <v>4.84</v>
      </c>
      <c r="C172" s="11">
        <v>56</v>
      </c>
      <c r="D172" s="6">
        <v>43.516800000000003</v>
      </c>
      <c r="E172" s="5">
        <v>10.119999999999999</v>
      </c>
      <c r="F172" s="5">
        <v>8.52</v>
      </c>
      <c r="G172" s="5">
        <f t="shared" si="2"/>
        <v>1.5999999999999996</v>
      </c>
      <c r="H172" s="6">
        <v>179.48769999999999</v>
      </c>
      <c r="I172" s="7">
        <v>102.76999664306599</v>
      </c>
      <c r="J172" s="7">
        <v>14.9821913653105</v>
      </c>
      <c r="K172" s="7">
        <v>0</v>
      </c>
    </row>
    <row r="173" spans="1:11" x14ac:dyDescent="0.3">
      <c r="A173" s="4">
        <v>27851</v>
      </c>
      <c r="B173" s="5">
        <v>4.82</v>
      </c>
      <c r="C173" s="11">
        <v>56.1</v>
      </c>
      <c r="D173" s="6">
        <v>43.732700000000001</v>
      </c>
      <c r="E173" s="5">
        <v>9.94</v>
      </c>
      <c r="F173" s="5">
        <v>8.4</v>
      </c>
      <c r="G173" s="5">
        <f t="shared" si="2"/>
        <v>1.5399999999999991</v>
      </c>
      <c r="H173" s="6">
        <v>177.47550000000001</v>
      </c>
      <c r="I173" s="7">
        <v>101.639999389648</v>
      </c>
      <c r="J173" s="7">
        <v>14.1926188301042</v>
      </c>
      <c r="K173" s="7">
        <v>0</v>
      </c>
    </row>
    <row r="174" spans="1:11" x14ac:dyDescent="0.3">
      <c r="A174" s="4">
        <v>27881</v>
      </c>
      <c r="B174" s="5">
        <v>5.29</v>
      </c>
      <c r="C174" s="11">
        <v>56.4</v>
      </c>
      <c r="D174" s="6">
        <v>43.918599999999998</v>
      </c>
      <c r="E174" s="5">
        <v>9.86</v>
      </c>
      <c r="F174" s="5">
        <v>8.58</v>
      </c>
      <c r="G174" s="5">
        <f t="shared" si="2"/>
        <v>1.2799999999999994</v>
      </c>
      <c r="H174" s="6">
        <v>178.43260000000001</v>
      </c>
      <c r="I174" s="7">
        <v>100.180000305175</v>
      </c>
      <c r="J174" s="7">
        <v>14.0476735155963</v>
      </c>
      <c r="K174" s="7">
        <v>0</v>
      </c>
    </row>
    <row r="175" spans="1:11" x14ac:dyDescent="0.3">
      <c r="A175" s="4">
        <v>27912</v>
      </c>
      <c r="B175" s="5">
        <v>5.48</v>
      </c>
      <c r="C175" s="11">
        <v>56.7</v>
      </c>
      <c r="D175" s="6">
        <v>43.963700000000003</v>
      </c>
      <c r="E175" s="5">
        <v>9.89</v>
      </c>
      <c r="F175" s="5">
        <v>8.6199999999999992</v>
      </c>
      <c r="G175" s="5">
        <f t="shared" si="2"/>
        <v>1.2700000000000014</v>
      </c>
      <c r="H175" s="6">
        <v>179.102</v>
      </c>
      <c r="I175" s="7">
        <v>104.27999877929599</v>
      </c>
      <c r="J175" s="7">
        <v>13.0812178406279</v>
      </c>
      <c r="K175" s="7">
        <v>0</v>
      </c>
    </row>
    <row r="176" spans="1:11" x14ac:dyDescent="0.3">
      <c r="A176" s="4">
        <v>27942</v>
      </c>
      <c r="B176" s="5">
        <v>5.31</v>
      </c>
      <c r="C176" s="11">
        <v>57</v>
      </c>
      <c r="D176" s="6">
        <v>44.214100000000002</v>
      </c>
      <c r="E176" s="5">
        <v>9.82</v>
      </c>
      <c r="F176" s="5">
        <v>8.56</v>
      </c>
      <c r="G176" s="5">
        <f t="shared" si="2"/>
        <v>1.2599999999999998</v>
      </c>
      <c r="H176" s="6">
        <v>179.14230000000001</v>
      </c>
      <c r="I176" s="7">
        <v>103.44000244140599</v>
      </c>
      <c r="J176" s="7">
        <v>9.8718679030123599</v>
      </c>
      <c r="K176" s="7">
        <v>0</v>
      </c>
    </row>
    <row r="177" spans="1:11" x14ac:dyDescent="0.3">
      <c r="A177" s="4">
        <v>27973</v>
      </c>
      <c r="B177" s="5">
        <v>5.29</v>
      </c>
      <c r="C177" s="11">
        <v>57.3</v>
      </c>
      <c r="D177" s="6">
        <v>44.5182</v>
      </c>
      <c r="E177" s="5">
        <v>9.64</v>
      </c>
      <c r="F177" s="5">
        <v>8.4499999999999993</v>
      </c>
      <c r="G177" s="5">
        <f t="shared" si="2"/>
        <v>1.1900000000000013</v>
      </c>
      <c r="H177" s="6">
        <v>179.79490000000001</v>
      </c>
      <c r="I177" s="7">
        <v>102.91000366210901</v>
      </c>
      <c r="J177" s="7">
        <v>11.949056599472099</v>
      </c>
      <c r="K177" s="7">
        <v>0</v>
      </c>
    </row>
    <row r="178" spans="1:11" x14ac:dyDescent="0.3">
      <c r="A178" s="4">
        <v>28004</v>
      </c>
      <c r="B178" s="5">
        <v>5.25</v>
      </c>
      <c r="C178" s="11">
        <v>57.6</v>
      </c>
      <c r="D178" s="6">
        <v>44.6721</v>
      </c>
      <c r="E178" s="5">
        <v>9.4</v>
      </c>
      <c r="F178" s="5">
        <v>8.3800000000000008</v>
      </c>
      <c r="G178" s="5">
        <f t="shared" si="2"/>
        <v>1.0199999999999996</v>
      </c>
      <c r="H178" s="6">
        <v>181.17320000000001</v>
      </c>
      <c r="I178" s="7">
        <v>105.23999786376901</v>
      </c>
      <c r="J178" s="7">
        <v>13.163122436636399</v>
      </c>
      <c r="K178" s="7">
        <v>0</v>
      </c>
    </row>
    <row r="179" spans="1:11" x14ac:dyDescent="0.3">
      <c r="A179" s="4">
        <v>28034</v>
      </c>
      <c r="B179" s="5">
        <v>5.0199999999999996</v>
      </c>
      <c r="C179" s="11">
        <v>57.9</v>
      </c>
      <c r="D179" s="6">
        <v>44.658499999999997</v>
      </c>
      <c r="E179" s="5">
        <v>9.2899999999999991</v>
      </c>
      <c r="F179" s="5">
        <v>8.32</v>
      </c>
      <c r="G179" s="5">
        <f t="shared" si="2"/>
        <v>0.96999999999999886</v>
      </c>
      <c r="H179" s="6">
        <v>182.4383</v>
      </c>
      <c r="I179" s="7">
        <v>102.900001525878</v>
      </c>
      <c r="J179" s="7">
        <v>15.8524052298861</v>
      </c>
      <c r="K179" s="7">
        <v>0</v>
      </c>
    </row>
    <row r="180" spans="1:11" x14ac:dyDescent="0.3">
      <c r="A180" s="4">
        <v>28065</v>
      </c>
      <c r="B180" s="5">
        <v>4.95</v>
      </c>
      <c r="C180" s="11">
        <v>58.1</v>
      </c>
      <c r="D180" s="6">
        <v>45.339199999999998</v>
      </c>
      <c r="E180" s="5">
        <v>9.23</v>
      </c>
      <c r="F180" s="5">
        <v>8.25</v>
      </c>
      <c r="G180" s="5">
        <f t="shared" si="2"/>
        <v>0.98000000000000043</v>
      </c>
      <c r="H180" s="6">
        <v>183.90049999999999</v>
      </c>
      <c r="I180" s="7">
        <v>102.09999847412099</v>
      </c>
      <c r="J180" s="7">
        <v>15.405434537304</v>
      </c>
      <c r="K180" s="7">
        <v>0</v>
      </c>
    </row>
    <row r="181" spans="1:11" x14ac:dyDescent="0.3">
      <c r="A181" s="4">
        <v>28095</v>
      </c>
      <c r="B181" s="5">
        <v>4.6500000000000004</v>
      </c>
      <c r="C181" s="11">
        <v>58.4</v>
      </c>
      <c r="D181" s="6">
        <v>45.8294</v>
      </c>
      <c r="E181" s="5">
        <v>9.1199999999999992</v>
      </c>
      <c r="F181" s="5">
        <v>7.98</v>
      </c>
      <c r="G181" s="5">
        <f t="shared" si="2"/>
        <v>1.1399999999999988</v>
      </c>
      <c r="H181" s="6">
        <v>185.24780000000001</v>
      </c>
      <c r="I181" s="7">
        <v>107.459999084472</v>
      </c>
      <c r="J181" s="7">
        <v>9.3363477507092103</v>
      </c>
      <c r="K181" s="7">
        <v>0</v>
      </c>
    </row>
    <row r="182" spans="1:11" x14ac:dyDescent="0.3">
      <c r="A182" s="4">
        <v>28126</v>
      </c>
      <c r="B182" s="5">
        <v>4.6100000000000003</v>
      </c>
      <c r="C182" s="11">
        <v>58.7</v>
      </c>
      <c r="D182" s="6">
        <v>45.508699999999997</v>
      </c>
      <c r="E182" s="5">
        <v>9.08</v>
      </c>
      <c r="F182" s="5">
        <v>7.96</v>
      </c>
      <c r="G182" s="5">
        <f t="shared" si="2"/>
        <v>1.1200000000000001</v>
      </c>
      <c r="H182" s="6">
        <v>185.78739999999999</v>
      </c>
      <c r="I182" s="7">
        <v>102.02999877929599</v>
      </c>
      <c r="J182" s="7">
        <v>10.7387704212091</v>
      </c>
      <c r="K182" s="7">
        <v>0</v>
      </c>
    </row>
    <row r="183" spans="1:11" x14ac:dyDescent="0.3">
      <c r="A183" s="4">
        <v>28157</v>
      </c>
      <c r="B183" s="5">
        <v>4.68</v>
      </c>
      <c r="C183" s="11">
        <v>59.3</v>
      </c>
      <c r="D183" s="6">
        <v>46.227699999999999</v>
      </c>
      <c r="E183" s="5">
        <v>9.1199999999999992</v>
      </c>
      <c r="F183" s="5">
        <v>8.0399999999999991</v>
      </c>
      <c r="G183" s="5">
        <f t="shared" si="2"/>
        <v>1.08</v>
      </c>
      <c r="H183" s="6">
        <v>187.41130000000001</v>
      </c>
      <c r="I183" s="7">
        <v>99.819999694824205</v>
      </c>
      <c r="J183" s="7">
        <v>8.3380909076057002</v>
      </c>
      <c r="K183" s="7">
        <v>0</v>
      </c>
    </row>
    <row r="184" spans="1:11" x14ac:dyDescent="0.3">
      <c r="A184" s="4">
        <v>28185</v>
      </c>
      <c r="B184" s="5">
        <v>4.6900000000000004</v>
      </c>
      <c r="C184" s="11">
        <v>59.6</v>
      </c>
      <c r="D184" s="6">
        <v>46.8185</v>
      </c>
      <c r="E184" s="5">
        <v>9.1199999999999992</v>
      </c>
      <c r="F184" s="5">
        <v>8.1</v>
      </c>
      <c r="G184" s="5">
        <f t="shared" si="2"/>
        <v>1.0199999999999996</v>
      </c>
      <c r="H184" s="6">
        <v>189.15469999999999</v>
      </c>
      <c r="I184" s="7">
        <v>98.419998168945298</v>
      </c>
      <c r="J184" s="7">
        <v>10.9820165034808</v>
      </c>
      <c r="K184" s="7">
        <v>0</v>
      </c>
    </row>
    <row r="185" spans="1:11" x14ac:dyDescent="0.3">
      <c r="A185" s="4">
        <v>28216</v>
      </c>
      <c r="B185" s="5">
        <v>4.7300000000000004</v>
      </c>
      <c r="C185" s="11">
        <v>60</v>
      </c>
      <c r="D185" s="6">
        <v>47.2684</v>
      </c>
      <c r="E185" s="5">
        <v>9.07</v>
      </c>
      <c r="F185" s="5">
        <v>8.0399999999999991</v>
      </c>
      <c r="G185" s="5">
        <f t="shared" si="2"/>
        <v>1.0300000000000011</v>
      </c>
      <c r="H185" s="6">
        <v>190.29480000000001</v>
      </c>
      <c r="I185" s="7">
        <v>98.440002441406193</v>
      </c>
      <c r="J185" s="7">
        <v>14.4673488773652</v>
      </c>
      <c r="K185" s="7">
        <v>0</v>
      </c>
    </row>
    <row r="186" spans="1:11" x14ac:dyDescent="0.3">
      <c r="A186" s="4">
        <v>28246</v>
      </c>
      <c r="B186" s="5">
        <v>5.35</v>
      </c>
      <c r="C186" s="11">
        <v>60.2</v>
      </c>
      <c r="D186" s="6">
        <v>47.641100000000002</v>
      </c>
      <c r="E186" s="5">
        <v>9.01</v>
      </c>
      <c r="F186" s="5">
        <v>8.0500000000000007</v>
      </c>
      <c r="G186" s="5">
        <f t="shared" si="2"/>
        <v>0.95999999999999908</v>
      </c>
      <c r="H186" s="6">
        <v>191.77969999999999</v>
      </c>
      <c r="I186" s="7">
        <v>96.120002746582003</v>
      </c>
      <c r="J186" s="7">
        <v>11.0993750365067</v>
      </c>
      <c r="K186" s="7">
        <v>0</v>
      </c>
    </row>
    <row r="187" spans="1:11" x14ac:dyDescent="0.3">
      <c r="A187" s="4">
        <v>28277</v>
      </c>
      <c r="B187" s="5">
        <v>5.39</v>
      </c>
      <c r="C187" s="11">
        <v>60.5</v>
      </c>
      <c r="D187" s="6">
        <v>48.011600000000001</v>
      </c>
      <c r="E187" s="5">
        <v>8.91</v>
      </c>
      <c r="F187" s="5">
        <v>7.95</v>
      </c>
      <c r="G187" s="5">
        <f t="shared" si="2"/>
        <v>0.96</v>
      </c>
      <c r="H187" s="6">
        <v>193.5548</v>
      </c>
      <c r="I187" s="7">
        <v>100.480003356933</v>
      </c>
      <c r="J187" s="7">
        <v>9.5172506351767794</v>
      </c>
      <c r="K187" s="7">
        <v>0</v>
      </c>
    </row>
    <row r="188" spans="1:11" x14ac:dyDescent="0.3">
      <c r="A188" s="4">
        <v>28307</v>
      </c>
      <c r="B188" s="5">
        <v>5.42</v>
      </c>
      <c r="C188" s="11">
        <v>60.8</v>
      </c>
      <c r="D188" s="6">
        <v>48.073</v>
      </c>
      <c r="E188" s="5">
        <v>8.8699999999999992</v>
      </c>
      <c r="F188" s="5">
        <v>7.94</v>
      </c>
      <c r="G188" s="5">
        <f t="shared" si="2"/>
        <v>0.92999999999999883</v>
      </c>
      <c r="H188" s="6">
        <v>195.18350000000001</v>
      </c>
      <c r="I188" s="7">
        <v>98.849998474121094</v>
      </c>
      <c r="J188" s="7">
        <v>11.4412478895976</v>
      </c>
      <c r="K188" s="7">
        <v>0</v>
      </c>
    </row>
    <row r="189" spans="1:11" x14ac:dyDescent="0.3">
      <c r="A189" s="4">
        <v>28338</v>
      </c>
      <c r="B189" s="5">
        <v>5.9</v>
      </c>
      <c r="C189" s="11">
        <v>61.1</v>
      </c>
      <c r="D189" s="6">
        <v>48.1205</v>
      </c>
      <c r="E189" s="5">
        <v>8.82</v>
      </c>
      <c r="F189" s="5">
        <v>7.98</v>
      </c>
      <c r="G189" s="5">
        <f t="shared" si="2"/>
        <v>0.83999999999999986</v>
      </c>
      <c r="H189" s="6">
        <v>197.4881</v>
      </c>
      <c r="I189" s="7">
        <v>96.769996643066406</v>
      </c>
      <c r="J189" s="7">
        <v>10.165800059477601</v>
      </c>
      <c r="K189" s="7">
        <v>0</v>
      </c>
    </row>
    <row r="190" spans="1:11" x14ac:dyDescent="0.3">
      <c r="A190" s="4">
        <v>28369</v>
      </c>
      <c r="B190" s="5">
        <v>6.14</v>
      </c>
      <c r="C190" s="11">
        <v>61.3</v>
      </c>
      <c r="D190" s="6">
        <v>48.318899999999999</v>
      </c>
      <c r="E190" s="5">
        <v>8.8000000000000007</v>
      </c>
      <c r="F190" s="5">
        <v>7.92</v>
      </c>
      <c r="G190" s="5">
        <f t="shared" si="2"/>
        <v>0.88000000000000078</v>
      </c>
      <c r="H190" s="6">
        <v>198.9991</v>
      </c>
      <c r="I190" s="7">
        <v>96.529998779296804</v>
      </c>
      <c r="J190" s="7">
        <v>9.6702080759955802</v>
      </c>
      <c r="K190" s="7">
        <v>0</v>
      </c>
    </row>
    <row r="191" spans="1:11" x14ac:dyDescent="0.3">
      <c r="A191" s="4">
        <v>28399</v>
      </c>
      <c r="B191" s="5">
        <v>6.47</v>
      </c>
      <c r="C191" s="11">
        <v>61.6</v>
      </c>
      <c r="D191" s="6">
        <v>48.387099999999997</v>
      </c>
      <c r="E191" s="5">
        <v>8.89</v>
      </c>
      <c r="F191" s="5">
        <v>8.0399999999999991</v>
      </c>
      <c r="G191" s="5">
        <f t="shared" si="2"/>
        <v>0.85000000000000142</v>
      </c>
      <c r="H191" s="6">
        <v>201.25450000000001</v>
      </c>
      <c r="I191" s="7">
        <v>92.339996337890597</v>
      </c>
      <c r="J191" s="7">
        <v>11.3010121930872</v>
      </c>
      <c r="K191" s="7">
        <v>0</v>
      </c>
    </row>
    <row r="192" spans="1:11" x14ac:dyDescent="0.3">
      <c r="A192" s="4">
        <v>28430</v>
      </c>
      <c r="B192" s="5">
        <v>6.51</v>
      </c>
      <c r="C192" s="11">
        <v>62</v>
      </c>
      <c r="D192" s="6">
        <v>48.476100000000002</v>
      </c>
      <c r="E192" s="5">
        <v>8.9499999999999993</v>
      </c>
      <c r="F192" s="5">
        <v>8.08</v>
      </c>
      <c r="G192" s="5">
        <f t="shared" si="2"/>
        <v>0.86999999999999922</v>
      </c>
      <c r="H192" s="6">
        <v>202.93969999999999</v>
      </c>
      <c r="I192" s="7">
        <v>94.830001831054602</v>
      </c>
      <c r="J192" s="7">
        <v>16.486683776367499</v>
      </c>
      <c r="K192" s="7">
        <v>0</v>
      </c>
    </row>
    <row r="193" spans="1:11" x14ac:dyDescent="0.3">
      <c r="A193" s="4">
        <v>28460</v>
      </c>
      <c r="B193" s="5">
        <v>6.56</v>
      </c>
      <c r="C193" s="11">
        <v>62.3</v>
      </c>
      <c r="D193" s="6">
        <v>48.562899999999999</v>
      </c>
      <c r="E193" s="5">
        <v>8.99</v>
      </c>
      <c r="F193" s="5">
        <v>8.19</v>
      </c>
      <c r="G193" s="5">
        <f t="shared" si="2"/>
        <v>0.80000000000000071</v>
      </c>
      <c r="H193" s="6">
        <v>204.67740000000001</v>
      </c>
      <c r="I193" s="7">
        <v>95.099998474121094</v>
      </c>
      <c r="J193" s="7">
        <v>11.2529876711484</v>
      </c>
      <c r="K193" s="7">
        <v>0</v>
      </c>
    </row>
    <row r="194" spans="1:11" x14ac:dyDescent="0.3">
      <c r="A194" s="4">
        <v>28491</v>
      </c>
      <c r="B194" s="5">
        <v>6.7</v>
      </c>
      <c r="C194" s="11">
        <v>62.7</v>
      </c>
      <c r="D194" s="6">
        <v>47.848100000000002</v>
      </c>
      <c r="E194" s="5">
        <v>9.17</v>
      </c>
      <c r="F194" s="5">
        <v>8.41</v>
      </c>
      <c r="G194" s="5">
        <f t="shared" si="2"/>
        <v>0.75999999999999979</v>
      </c>
      <c r="H194" s="6">
        <v>207.29310000000001</v>
      </c>
      <c r="I194" s="7">
        <v>89.25</v>
      </c>
      <c r="J194" s="7">
        <v>12.0669102835716</v>
      </c>
      <c r="K194" s="7">
        <v>0</v>
      </c>
    </row>
    <row r="195" spans="1:11" x14ac:dyDescent="0.3">
      <c r="A195" s="4">
        <v>28522</v>
      </c>
      <c r="B195" s="5">
        <v>6.78</v>
      </c>
      <c r="C195" s="11">
        <v>63</v>
      </c>
      <c r="D195" s="6">
        <v>48.104399999999998</v>
      </c>
      <c r="E195" s="5">
        <v>9.1999999999999993</v>
      </c>
      <c r="F195" s="5">
        <v>8.4700000000000006</v>
      </c>
      <c r="G195" s="5">
        <f t="shared" ref="G195:G258" si="3">E195-F195</f>
        <v>0.72999999999999865</v>
      </c>
      <c r="H195" s="6">
        <v>210.25899999999999</v>
      </c>
      <c r="I195" s="7">
        <v>87.040000915527301</v>
      </c>
      <c r="J195" s="7">
        <v>11.9473090686408</v>
      </c>
      <c r="K195" s="7">
        <v>0</v>
      </c>
    </row>
    <row r="196" spans="1:11" x14ac:dyDescent="0.3">
      <c r="A196" s="4">
        <v>28550</v>
      </c>
      <c r="B196" s="5">
        <v>6.79</v>
      </c>
      <c r="C196" s="11">
        <v>63.4</v>
      </c>
      <c r="D196" s="6">
        <v>49.026499999999999</v>
      </c>
      <c r="E196" s="5">
        <v>9.2200000000000006</v>
      </c>
      <c r="F196" s="5">
        <v>8.4700000000000006</v>
      </c>
      <c r="G196" s="5">
        <f t="shared" si="3"/>
        <v>0.75</v>
      </c>
      <c r="H196" s="6">
        <v>213.60579999999999</v>
      </c>
      <c r="I196" s="7">
        <v>89.209999084472599</v>
      </c>
      <c r="J196" s="7">
        <v>10.6790160458738</v>
      </c>
      <c r="K196" s="7">
        <v>0</v>
      </c>
    </row>
    <row r="197" spans="1:11" x14ac:dyDescent="0.3">
      <c r="A197" s="4">
        <v>28581</v>
      </c>
      <c r="B197" s="5">
        <v>6.89</v>
      </c>
      <c r="C197" s="11">
        <v>63.9</v>
      </c>
      <c r="D197" s="6">
        <v>50.020600000000002</v>
      </c>
      <c r="E197" s="5">
        <v>9.32</v>
      </c>
      <c r="F197" s="5">
        <v>8.56</v>
      </c>
      <c r="G197" s="5">
        <f t="shared" si="3"/>
        <v>0.75999999999999979</v>
      </c>
      <c r="H197" s="6">
        <v>216.99789999999999</v>
      </c>
      <c r="I197" s="7">
        <v>96.830001831054602</v>
      </c>
      <c r="J197" s="7">
        <v>17.1512005044533</v>
      </c>
      <c r="K197" s="7">
        <v>0</v>
      </c>
    </row>
    <row r="198" spans="1:11" x14ac:dyDescent="0.3">
      <c r="A198" s="4">
        <v>28611</v>
      </c>
      <c r="B198" s="5">
        <v>7.36</v>
      </c>
      <c r="C198" s="11">
        <v>64.5</v>
      </c>
      <c r="D198" s="6">
        <v>50.253999999999998</v>
      </c>
      <c r="E198" s="5">
        <v>9.49</v>
      </c>
      <c r="F198" s="5">
        <v>8.69</v>
      </c>
      <c r="G198" s="5">
        <f t="shared" si="3"/>
        <v>0.80000000000000071</v>
      </c>
      <c r="H198" s="6">
        <v>220.40049999999999</v>
      </c>
      <c r="I198" s="7">
        <v>97.239997863769503</v>
      </c>
      <c r="J198" s="7">
        <v>14.418207606984501</v>
      </c>
      <c r="K198" s="7">
        <v>0</v>
      </c>
    </row>
    <row r="199" spans="1:11" x14ac:dyDescent="0.3">
      <c r="A199" s="4">
        <v>28642</v>
      </c>
      <c r="B199" s="5">
        <v>7.6</v>
      </c>
      <c r="C199" s="11">
        <v>65</v>
      </c>
      <c r="D199" s="6">
        <v>50.580100000000002</v>
      </c>
      <c r="E199" s="5">
        <v>9.6</v>
      </c>
      <c r="F199" s="5">
        <v>8.76</v>
      </c>
      <c r="G199" s="5">
        <f t="shared" si="3"/>
        <v>0.83999999999999986</v>
      </c>
      <c r="H199" s="6">
        <v>223.4759</v>
      </c>
      <c r="I199" s="7">
        <v>95.529998779296804</v>
      </c>
      <c r="J199" s="7">
        <v>13.9369129941803</v>
      </c>
      <c r="K199" s="7">
        <v>0</v>
      </c>
    </row>
    <row r="200" spans="1:11" x14ac:dyDescent="0.3">
      <c r="A200" s="4">
        <v>28672</v>
      </c>
      <c r="B200" s="5">
        <v>7.81</v>
      </c>
      <c r="C200" s="11">
        <v>65.5</v>
      </c>
      <c r="D200" s="6">
        <v>50.538400000000003</v>
      </c>
      <c r="E200" s="5">
        <v>9.6</v>
      </c>
      <c r="F200" s="5">
        <v>8.8800000000000008</v>
      </c>
      <c r="G200" s="5">
        <f t="shared" si="3"/>
        <v>0.71999999999999886</v>
      </c>
      <c r="H200" s="6">
        <v>226.22579999999999</v>
      </c>
      <c r="I200" s="7">
        <v>100.680000305175</v>
      </c>
      <c r="J200" s="7">
        <v>12.246975204899501</v>
      </c>
      <c r="K200" s="7">
        <v>0</v>
      </c>
    </row>
    <row r="201" spans="1:11" x14ac:dyDescent="0.3">
      <c r="A201" s="4">
        <v>28703</v>
      </c>
      <c r="B201" s="5">
        <v>8.0399999999999991</v>
      </c>
      <c r="C201" s="11">
        <v>65.900000000000006</v>
      </c>
      <c r="D201" s="6">
        <v>50.745800000000003</v>
      </c>
      <c r="E201" s="5">
        <v>9.48</v>
      </c>
      <c r="F201" s="5">
        <v>8.69</v>
      </c>
      <c r="G201" s="5">
        <f t="shared" si="3"/>
        <v>0.79000000000000092</v>
      </c>
      <c r="H201" s="6">
        <v>228.3623</v>
      </c>
      <c r="I201" s="7">
        <v>103.290000915527</v>
      </c>
      <c r="J201" s="7">
        <v>13.2964330342671</v>
      </c>
      <c r="K201" s="7">
        <v>0</v>
      </c>
    </row>
    <row r="202" spans="1:11" x14ac:dyDescent="0.3">
      <c r="A202" s="4">
        <v>28734</v>
      </c>
      <c r="B202" s="5">
        <v>8.4499999999999993</v>
      </c>
      <c r="C202" s="11">
        <v>66.5</v>
      </c>
      <c r="D202" s="6">
        <v>50.874400000000001</v>
      </c>
      <c r="E202" s="5">
        <v>9.42</v>
      </c>
      <c r="F202" s="5">
        <v>8.69</v>
      </c>
      <c r="G202" s="5">
        <f t="shared" si="3"/>
        <v>0.73000000000000043</v>
      </c>
      <c r="H202" s="6">
        <v>230.50110000000001</v>
      </c>
      <c r="I202" s="7">
        <v>102.540000915527</v>
      </c>
      <c r="J202" s="7">
        <v>14.1677799538614</v>
      </c>
      <c r="K202" s="7">
        <v>0</v>
      </c>
    </row>
    <row r="203" spans="1:11" x14ac:dyDescent="0.3">
      <c r="A203" s="4">
        <v>28764</v>
      </c>
      <c r="B203" s="5">
        <v>8.9600000000000009</v>
      </c>
      <c r="C203" s="11">
        <v>67.099999999999994</v>
      </c>
      <c r="D203" s="6">
        <v>51.255899999999997</v>
      </c>
      <c r="E203" s="5">
        <v>9.59</v>
      </c>
      <c r="F203" s="5">
        <v>8.89</v>
      </c>
      <c r="G203" s="5">
        <f t="shared" si="3"/>
        <v>0.69999999999999929</v>
      </c>
      <c r="H203" s="6">
        <v>232.92490000000001</v>
      </c>
      <c r="I203" s="7">
        <v>93.150001525878906</v>
      </c>
      <c r="J203" s="7">
        <v>18.1041336811851</v>
      </c>
      <c r="K203" s="7">
        <v>0</v>
      </c>
    </row>
    <row r="204" spans="1:11" x14ac:dyDescent="0.3">
      <c r="A204" s="4">
        <v>28795</v>
      </c>
      <c r="B204" s="5">
        <v>9.76</v>
      </c>
      <c r="C204" s="11">
        <v>67.5</v>
      </c>
      <c r="D204" s="6">
        <v>51.651400000000002</v>
      </c>
      <c r="E204" s="5">
        <v>9.83</v>
      </c>
      <c r="F204" s="5">
        <v>9.0299999999999994</v>
      </c>
      <c r="G204" s="5">
        <f t="shared" si="3"/>
        <v>0.80000000000000071</v>
      </c>
      <c r="H204" s="6">
        <v>235.80619999999999</v>
      </c>
      <c r="I204" s="7">
        <v>94.699996948242102</v>
      </c>
      <c r="J204" s="7">
        <v>25.070004194296899</v>
      </c>
      <c r="K204" s="7">
        <v>1</v>
      </c>
    </row>
    <row r="205" spans="1:11" x14ac:dyDescent="0.3">
      <c r="A205" s="4">
        <v>28825</v>
      </c>
      <c r="B205" s="5">
        <v>10.029999999999999</v>
      </c>
      <c r="C205" s="11">
        <v>67.900000000000006</v>
      </c>
      <c r="D205" s="6">
        <v>51.908999999999999</v>
      </c>
      <c r="E205" s="5">
        <v>9.94</v>
      </c>
      <c r="F205" s="5">
        <v>9.16</v>
      </c>
      <c r="G205" s="5">
        <f t="shared" si="3"/>
        <v>0.77999999999999936</v>
      </c>
      <c r="H205" s="6">
        <v>237.23939999999999</v>
      </c>
      <c r="I205" s="7">
        <v>96.110000610351506</v>
      </c>
      <c r="J205" s="7">
        <v>18.7069913391136</v>
      </c>
      <c r="K205" s="7">
        <v>0</v>
      </c>
    </row>
    <row r="206" spans="1:11" x14ac:dyDescent="0.3">
      <c r="A206" s="4">
        <v>28856</v>
      </c>
      <c r="B206" s="5">
        <v>10.07</v>
      </c>
      <c r="C206" s="11">
        <v>68.5</v>
      </c>
      <c r="D206" s="6">
        <v>51.627800000000001</v>
      </c>
      <c r="E206" s="5">
        <v>10.130000000000001</v>
      </c>
      <c r="F206" s="5">
        <v>9.25</v>
      </c>
      <c r="G206" s="5">
        <f t="shared" si="3"/>
        <v>0.88000000000000078</v>
      </c>
      <c r="H206" s="6">
        <v>239.75700000000001</v>
      </c>
      <c r="I206" s="7">
        <v>99.930000305175696</v>
      </c>
      <c r="J206" s="7">
        <v>13.363400082214801</v>
      </c>
      <c r="K206" s="7">
        <v>0</v>
      </c>
    </row>
    <row r="207" spans="1:11" x14ac:dyDescent="0.3">
      <c r="A207" s="4">
        <v>28887</v>
      </c>
      <c r="B207" s="5">
        <v>10.06</v>
      </c>
      <c r="C207" s="11">
        <v>69.2</v>
      </c>
      <c r="D207" s="6">
        <v>51.8752</v>
      </c>
      <c r="E207" s="5">
        <v>10.08</v>
      </c>
      <c r="F207" s="5">
        <v>9.26</v>
      </c>
      <c r="G207" s="5">
        <f t="shared" si="3"/>
        <v>0.82000000000000028</v>
      </c>
      <c r="H207" s="6">
        <v>243.8766</v>
      </c>
      <c r="I207" s="7">
        <v>96.279998779296804</v>
      </c>
      <c r="J207" s="7">
        <v>12.946082998986499</v>
      </c>
      <c r="K207" s="7">
        <v>0</v>
      </c>
    </row>
    <row r="208" spans="1:11" x14ac:dyDescent="0.3">
      <c r="A208" s="4">
        <v>28915</v>
      </c>
      <c r="B208" s="5">
        <v>10.09</v>
      </c>
      <c r="C208" s="11">
        <v>69.900000000000006</v>
      </c>
      <c r="D208" s="6">
        <v>52.044600000000003</v>
      </c>
      <c r="E208" s="5">
        <v>10.26</v>
      </c>
      <c r="F208" s="5">
        <v>9.3699999999999992</v>
      </c>
      <c r="G208" s="5">
        <f t="shared" si="3"/>
        <v>0.89000000000000057</v>
      </c>
      <c r="H208" s="6">
        <v>247.89330000000001</v>
      </c>
      <c r="I208" s="7">
        <v>101.58999633789</v>
      </c>
      <c r="J208" s="7">
        <v>11.2786571073246</v>
      </c>
      <c r="K208" s="7">
        <v>0</v>
      </c>
    </row>
    <row r="209" spans="1:11" x14ac:dyDescent="0.3">
      <c r="A209" s="4">
        <v>28946</v>
      </c>
      <c r="B209" s="5">
        <v>10.01</v>
      </c>
      <c r="C209" s="11">
        <v>70.599999999999994</v>
      </c>
      <c r="D209" s="6">
        <v>51.4193</v>
      </c>
      <c r="E209" s="5">
        <v>10.33</v>
      </c>
      <c r="F209" s="5">
        <v>9.3800000000000008</v>
      </c>
      <c r="G209" s="5">
        <f t="shared" si="3"/>
        <v>0.94999999999999929</v>
      </c>
      <c r="H209" s="6">
        <v>253.76089999999999</v>
      </c>
      <c r="I209" s="7">
        <v>101.76000213623</v>
      </c>
      <c r="J209" s="7">
        <v>11.6963540050821</v>
      </c>
      <c r="K209" s="7">
        <v>0</v>
      </c>
    </row>
    <row r="210" spans="1:11" x14ac:dyDescent="0.3">
      <c r="A210" s="4">
        <v>28976</v>
      </c>
      <c r="B210" s="5">
        <v>10.24</v>
      </c>
      <c r="C210" s="11">
        <v>71.400000000000006</v>
      </c>
      <c r="D210" s="6">
        <v>51.885599999999997</v>
      </c>
      <c r="E210" s="5">
        <v>10.47</v>
      </c>
      <c r="F210" s="5">
        <v>9.5</v>
      </c>
      <c r="G210" s="5">
        <f t="shared" si="3"/>
        <v>0.97000000000000064</v>
      </c>
      <c r="H210" s="6">
        <v>258.73489999999998</v>
      </c>
      <c r="I210" s="7">
        <v>99.080001831054602</v>
      </c>
      <c r="J210" s="7">
        <v>13.104215057380801</v>
      </c>
      <c r="K210" s="7">
        <v>0</v>
      </c>
    </row>
    <row r="211" spans="1:11" x14ac:dyDescent="0.3">
      <c r="A211" s="4">
        <v>29007</v>
      </c>
      <c r="B211" s="5">
        <v>10.29</v>
      </c>
      <c r="C211" s="11">
        <v>72.2</v>
      </c>
      <c r="D211" s="6">
        <v>51.896500000000003</v>
      </c>
      <c r="E211" s="5">
        <v>10.38</v>
      </c>
      <c r="F211" s="5">
        <v>9.2899999999999991</v>
      </c>
      <c r="G211" s="5">
        <f t="shared" si="3"/>
        <v>1.0900000000000016</v>
      </c>
      <c r="H211" s="6">
        <v>263.48149999999998</v>
      </c>
      <c r="I211" s="7">
        <v>102.91000366210901</v>
      </c>
      <c r="J211" s="7">
        <v>10.0320761730455</v>
      </c>
      <c r="K211" s="7">
        <v>0</v>
      </c>
    </row>
    <row r="212" spans="1:11" x14ac:dyDescent="0.3">
      <c r="A212" s="4">
        <v>29037</v>
      </c>
      <c r="B212" s="5">
        <v>10.47</v>
      </c>
      <c r="C212" s="11">
        <v>73</v>
      </c>
      <c r="D212" s="6">
        <v>51.809699999999999</v>
      </c>
      <c r="E212" s="5">
        <v>10.29</v>
      </c>
      <c r="F212" s="5">
        <v>9.1999999999999993</v>
      </c>
      <c r="G212" s="5">
        <f t="shared" si="3"/>
        <v>1.0899999999999999</v>
      </c>
      <c r="H212" s="6">
        <v>267.86309999999997</v>
      </c>
      <c r="I212" s="7">
        <v>103.809997558593</v>
      </c>
      <c r="J212" s="7">
        <v>11.899728175434101</v>
      </c>
      <c r="K212" s="7">
        <v>0</v>
      </c>
    </row>
    <row r="213" spans="1:11" x14ac:dyDescent="0.3">
      <c r="A213" s="4">
        <v>29068</v>
      </c>
      <c r="B213" s="5">
        <v>10.94</v>
      </c>
      <c r="C213" s="11">
        <v>73.7</v>
      </c>
      <c r="D213" s="6">
        <v>51.468400000000003</v>
      </c>
      <c r="E213" s="5">
        <v>10.35</v>
      </c>
      <c r="F213" s="5">
        <v>9.23</v>
      </c>
      <c r="G213" s="5">
        <f t="shared" si="3"/>
        <v>1.1199999999999992</v>
      </c>
      <c r="H213" s="6">
        <v>270.64519999999999</v>
      </c>
      <c r="I213" s="7">
        <v>109.31999969482401</v>
      </c>
      <c r="J213" s="7">
        <v>8.4092079681055392</v>
      </c>
      <c r="K213" s="7">
        <v>0</v>
      </c>
    </row>
    <row r="214" spans="1:11" x14ac:dyDescent="0.3">
      <c r="A214" s="4">
        <v>29099</v>
      </c>
      <c r="B214" s="5">
        <v>11.43</v>
      </c>
      <c r="C214" s="11">
        <v>74.400000000000006</v>
      </c>
      <c r="D214" s="6">
        <v>51.459699999999998</v>
      </c>
      <c r="E214" s="5">
        <v>10.54</v>
      </c>
      <c r="F214" s="5">
        <v>9.44</v>
      </c>
      <c r="G214" s="5">
        <f t="shared" si="3"/>
        <v>1.0999999999999996</v>
      </c>
      <c r="H214" s="6">
        <v>274.37610000000001</v>
      </c>
      <c r="I214" s="7">
        <v>109.31999969482401</v>
      </c>
      <c r="J214" s="7">
        <v>16.601892481430902</v>
      </c>
      <c r="K214" s="7">
        <v>0</v>
      </c>
    </row>
    <row r="215" spans="1:11" x14ac:dyDescent="0.3">
      <c r="A215" s="4">
        <v>29129</v>
      </c>
      <c r="B215" s="5">
        <v>13.77</v>
      </c>
      <c r="C215" s="11">
        <v>75.2</v>
      </c>
      <c r="D215" s="6">
        <v>51.833399999999997</v>
      </c>
      <c r="E215" s="5">
        <v>11.4</v>
      </c>
      <c r="F215" s="5">
        <v>10.130000000000001</v>
      </c>
      <c r="G215" s="5">
        <f t="shared" si="3"/>
        <v>1.2699999999999996</v>
      </c>
      <c r="H215" s="6">
        <v>276.1506</v>
      </c>
      <c r="I215" s="7">
        <v>101.81999969482401</v>
      </c>
      <c r="J215" s="7">
        <v>20.974311864703299</v>
      </c>
      <c r="K215" s="7">
        <v>1</v>
      </c>
    </row>
    <row r="216" spans="1:11" x14ac:dyDescent="0.3">
      <c r="A216" s="4">
        <v>29160</v>
      </c>
      <c r="B216" s="5">
        <v>13.18</v>
      </c>
      <c r="C216" s="11">
        <v>76</v>
      </c>
      <c r="D216" s="6">
        <v>51.753100000000003</v>
      </c>
      <c r="E216" s="5">
        <v>11.99</v>
      </c>
      <c r="F216" s="5">
        <v>10.76</v>
      </c>
      <c r="G216" s="5">
        <f t="shared" si="3"/>
        <v>1.2300000000000004</v>
      </c>
      <c r="H216" s="6">
        <v>277.23820000000001</v>
      </c>
      <c r="I216" s="7">
        <v>106.16000366210901</v>
      </c>
      <c r="J216" s="7">
        <v>17.1517879863734</v>
      </c>
      <c r="K216" s="7">
        <v>0</v>
      </c>
    </row>
    <row r="217" spans="1:11" x14ac:dyDescent="0.3">
      <c r="A217" s="4">
        <v>29190</v>
      </c>
      <c r="B217" s="5">
        <v>13.78</v>
      </c>
      <c r="C217" s="11">
        <v>76.900000000000006</v>
      </c>
      <c r="D217" s="6">
        <v>51.787799999999997</v>
      </c>
      <c r="E217" s="5">
        <v>12.06</v>
      </c>
      <c r="F217" s="5">
        <v>10.74</v>
      </c>
      <c r="G217" s="5">
        <f t="shared" si="3"/>
        <v>1.3200000000000003</v>
      </c>
      <c r="H217" s="6">
        <v>279.72570000000002</v>
      </c>
      <c r="I217" s="7">
        <v>107.94000244140599</v>
      </c>
      <c r="J217" s="7">
        <v>9.8160722276856394</v>
      </c>
      <c r="K217" s="7">
        <v>0</v>
      </c>
    </row>
    <row r="218" spans="1:11" x14ac:dyDescent="0.3">
      <c r="A218" s="4">
        <v>29221</v>
      </c>
      <c r="B218" s="5">
        <v>13.82</v>
      </c>
      <c r="C218" s="11">
        <v>78</v>
      </c>
      <c r="D218" s="6">
        <v>52.067900000000002</v>
      </c>
      <c r="E218" s="5">
        <v>12.42</v>
      </c>
      <c r="F218" s="5">
        <v>11.09</v>
      </c>
      <c r="G218" s="5">
        <f t="shared" si="3"/>
        <v>1.33</v>
      </c>
      <c r="H218" s="6">
        <v>281.8501</v>
      </c>
      <c r="I218" s="7">
        <v>114.16000366210901</v>
      </c>
      <c r="J218" s="7">
        <v>18.3507209472846</v>
      </c>
      <c r="K218" s="7">
        <v>0</v>
      </c>
    </row>
    <row r="219" spans="1:11" x14ac:dyDescent="0.3">
      <c r="A219" s="4">
        <v>29252</v>
      </c>
      <c r="B219" s="5">
        <v>14.13</v>
      </c>
      <c r="C219" s="11">
        <v>79</v>
      </c>
      <c r="D219" s="6">
        <v>52.082000000000001</v>
      </c>
      <c r="E219" s="5">
        <v>13.57</v>
      </c>
      <c r="F219" s="5">
        <v>12.38</v>
      </c>
      <c r="G219" s="5">
        <f t="shared" si="3"/>
        <v>1.1899999999999995</v>
      </c>
      <c r="H219" s="6">
        <v>285.67309999999998</v>
      </c>
      <c r="I219" s="7">
        <v>113.66000366210901</v>
      </c>
      <c r="J219" s="7">
        <v>20.0677297655747</v>
      </c>
      <c r="K219" s="7">
        <v>0</v>
      </c>
    </row>
    <row r="220" spans="1:11" x14ac:dyDescent="0.3">
      <c r="A220" s="4">
        <v>29281</v>
      </c>
      <c r="B220" s="5">
        <v>17.190000000000001</v>
      </c>
      <c r="C220" s="11">
        <v>80.099999999999994</v>
      </c>
      <c r="D220" s="6">
        <v>51.87</v>
      </c>
      <c r="E220" s="5">
        <v>14.45</v>
      </c>
      <c r="F220" s="5">
        <v>12.96</v>
      </c>
      <c r="G220" s="5">
        <f t="shared" si="3"/>
        <v>1.4899999999999984</v>
      </c>
      <c r="H220" s="6">
        <v>289.38440000000003</v>
      </c>
      <c r="I220" s="7">
        <v>102.08999633789</v>
      </c>
      <c r="J220" s="7">
        <v>28.8366353597029</v>
      </c>
      <c r="K220" s="7">
        <v>1</v>
      </c>
    </row>
    <row r="221" spans="1:11" x14ac:dyDescent="0.3">
      <c r="A221" s="4">
        <v>29312</v>
      </c>
      <c r="B221" s="5">
        <v>17.61</v>
      </c>
      <c r="C221" s="11">
        <v>80.900000000000006</v>
      </c>
      <c r="D221" s="6">
        <v>50.839700000000001</v>
      </c>
      <c r="E221" s="5">
        <v>14.19</v>
      </c>
      <c r="F221" s="5">
        <v>12.04</v>
      </c>
      <c r="G221" s="5">
        <f t="shared" si="3"/>
        <v>2.1500000000000004</v>
      </c>
      <c r="H221" s="6">
        <v>290.60180000000003</v>
      </c>
      <c r="I221" s="7">
        <v>106.290000915527</v>
      </c>
      <c r="J221" s="7">
        <v>22.986924168166901</v>
      </c>
      <c r="K221" s="7">
        <v>1</v>
      </c>
    </row>
    <row r="222" spans="1:11" x14ac:dyDescent="0.3">
      <c r="A222" s="4">
        <v>29342</v>
      </c>
      <c r="B222" s="5">
        <v>10.98</v>
      </c>
      <c r="C222" s="11">
        <v>81.7</v>
      </c>
      <c r="D222" s="6">
        <v>49.588999999999999</v>
      </c>
      <c r="E222" s="5">
        <v>13.17</v>
      </c>
      <c r="F222" s="5">
        <v>10.99</v>
      </c>
      <c r="G222" s="5">
        <f t="shared" si="3"/>
        <v>2.1799999999999997</v>
      </c>
      <c r="H222" s="6">
        <v>287.8784</v>
      </c>
      <c r="I222" s="7">
        <v>111.23999786376901</v>
      </c>
      <c r="J222" s="7">
        <v>16.847681438167498</v>
      </c>
      <c r="K222" s="7">
        <v>0</v>
      </c>
    </row>
    <row r="223" spans="1:11" x14ac:dyDescent="0.3">
      <c r="A223" s="4">
        <v>29373</v>
      </c>
      <c r="B223" s="5">
        <v>9.4700000000000006</v>
      </c>
      <c r="C223" s="11">
        <v>82.5</v>
      </c>
      <c r="D223" s="6">
        <v>48.9482</v>
      </c>
      <c r="E223" s="5">
        <v>12.71</v>
      </c>
      <c r="F223" s="5">
        <v>10.58</v>
      </c>
      <c r="G223" s="5">
        <f t="shared" si="3"/>
        <v>2.1300000000000008</v>
      </c>
      <c r="H223" s="6">
        <v>287.0378</v>
      </c>
      <c r="I223" s="7">
        <v>114.23999786376901</v>
      </c>
      <c r="J223" s="7">
        <v>16.383513963608198</v>
      </c>
      <c r="K223" s="7">
        <v>0</v>
      </c>
    </row>
    <row r="224" spans="1:11" x14ac:dyDescent="0.3">
      <c r="A224" s="4">
        <v>29403</v>
      </c>
      <c r="B224" s="5">
        <v>9.0299999999999994</v>
      </c>
      <c r="C224" s="11">
        <v>82.6</v>
      </c>
      <c r="D224" s="6">
        <v>48.603900000000003</v>
      </c>
      <c r="E224" s="5">
        <v>12.65</v>
      </c>
      <c r="F224" s="5">
        <v>11.07</v>
      </c>
      <c r="G224" s="5">
        <f t="shared" si="3"/>
        <v>1.58</v>
      </c>
      <c r="H224" s="6">
        <v>288.05829999999997</v>
      </c>
      <c r="I224" s="7">
        <v>121.669998168945</v>
      </c>
      <c r="J224" s="7">
        <v>14.9764701671539</v>
      </c>
      <c r="K224" s="7">
        <v>0</v>
      </c>
    </row>
    <row r="225" spans="1:11" x14ac:dyDescent="0.3">
      <c r="A225" s="4">
        <v>29434</v>
      </c>
      <c r="B225" s="5">
        <v>9.61</v>
      </c>
      <c r="C225" s="11">
        <v>83.2</v>
      </c>
      <c r="D225" s="6">
        <v>48.756300000000003</v>
      </c>
      <c r="E225" s="5">
        <v>13.15</v>
      </c>
      <c r="F225" s="5">
        <v>11.64</v>
      </c>
      <c r="G225" s="5">
        <f t="shared" si="3"/>
        <v>1.5099999999999998</v>
      </c>
      <c r="H225" s="6">
        <v>291.44909999999999</v>
      </c>
      <c r="I225" s="7">
        <v>122.379997253417</v>
      </c>
      <c r="J225" s="7">
        <v>18.538084524691499</v>
      </c>
      <c r="K225" s="7">
        <v>0</v>
      </c>
    </row>
    <row r="226" spans="1:11" x14ac:dyDescent="0.3">
      <c r="A226" s="4">
        <v>29465</v>
      </c>
      <c r="B226" s="5">
        <v>10.87</v>
      </c>
      <c r="C226" s="11">
        <v>83.9</v>
      </c>
      <c r="D226" s="6">
        <v>49.5608</v>
      </c>
      <c r="E226" s="5">
        <v>13.7</v>
      </c>
      <c r="F226" s="5">
        <v>12.02</v>
      </c>
      <c r="G226" s="5">
        <f t="shared" si="3"/>
        <v>1.6799999999999997</v>
      </c>
      <c r="H226" s="6">
        <v>294.79250000000002</v>
      </c>
      <c r="I226" s="7">
        <v>125.459999084472</v>
      </c>
      <c r="J226" s="7">
        <v>23.025092087529099</v>
      </c>
      <c r="K226" s="7">
        <v>1</v>
      </c>
    </row>
    <row r="227" spans="1:11" x14ac:dyDescent="0.3">
      <c r="A227" s="4">
        <v>29495</v>
      </c>
      <c r="B227" s="5">
        <v>12.81</v>
      </c>
      <c r="C227" s="11">
        <v>84.7</v>
      </c>
      <c r="D227" s="6">
        <v>50.190800000000003</v>
      </c>
      <c r="E227" s="5">
        <v>14.23</v>
      </c>
      <c r="F227" s="5">
        <v>12.31</v>
      </c>
      <c r="G227" s="5">
        <f t="shared" si="3"/>
        <v>1.92</v>
      </c>
      <c r="H227" s="6">
        <v>299.95729999999998</v>
      </c>
      <c r="I227" s="7">
        <v>127.470001220703</v>
      </c>
      <c r="J227" s="7">
        <v>19.973196430032999</v>
      </c>
      <c r="K227" s="7">
        <v>0</v>
      </c>
    </row>
    <row r="228" spans="1:11" x14ac:dyDescent="0.3">
      <c r="A228" s="4">
        <v>29526</v>
      </c>
      <c r="B228" s="5">
        <v>15.85</v>
      </c>
      <c r="C228" s="11">
        <v>85.6</v>
      </c>
      <c r="D228" s="6">
        <v>51.031100000000002</v>
      </c>
      <c r="E228" s="5">
        <v>14.64</v>
      </c>
      <c r="F228" s="5">
        <v>12.97</v>
      </c>
      <c r="G228" s="5">
        <f t="shared" si="3"/>
        <v>1.67</v>
      </c>
      <c r="H228" s="6">
        <v>307.37430000000001</v>
      </c>
      <c r="I228" s="7">
        <v>140.52000427246</v>
      </c>
      <c r="J228" s="7">
        <v>21.030203882129101</v>
      </c>
      <c r="K228" s="7">
        <v>1</v>
      </c>
    </row>
    <row r="229" spans="1:11" x14ac:dyDescent="0.3">
      <c r="A229" s="4">
        <v>29556</v>
      </c>
      <c r="B229" s="5">
        <v>18.899999999999999</v>
      </c>
      <c r="C229" s="11">
        <v>86.4</v>
      </c>
      <c r="D229" s="6">
        <v>51.370800000000003</v>
      </c>
      <c r="E229" s="5">
        <v>15.14</v>
      </c>
      <c r="F229" s="5">
        <v>13.21</v>
      </c>
      <c r="G229" s="5">
        <f t="shared" si="3"/>
        <v>1.9299999999999997</v>
      </c>
      <c r="H229" s="6">
        <v>312.03829999999999</v>
      </c>
      <c r="I229" s="7">
        <v>135.759994506835</v>
      </c>
      <c r="J229" s="7">
        <v>23.702766043876299</v>
      </c>
      <c r="K229" s="7">
        <v>1</v>
      </c>
    </row>
    <row r="230" spans="1:11" x14ac:dyDescent="0.3">
      <c r="A230" s="4">
        <v>29587</v>
      </c>
      <c r="B230" s="5">
        <v>19.079999999999998</v>
      </c>
      <c r="C230" s="11">
        <v>87.2</v>
      </c>
      <c r="D230" s="6">
        <v>51.041499999999999</v>
      </c>
      <c r="E230" s="5">
        <v>15.03</v>
      </c>
      <c r="F230" s="5">
        <v>12.81</v>
      </c>
      <c r="G230" s="5">
        <f t="shared" si="3"/>
        <v>2.2199999999999989</v>
      </c>
      <c r="H230" s="6">
        <v>312.4522</v>
      </c>
      <c r="I230" s="7">
        <v>129.55000305175699</v>
      </c>
      <c r="J230" s="7">
        <v>17.465626897360998</v>
      </c>
      <c r="K230" s="7">
        <v>0</v>
      </c>
    </row>
    <row r="231" spans="1:11" x14ac:dyDescent="0.3">
      <c r="A231" s="4">
        <v>29618</v>
      </c>
      <c r="B231" s="5">
        <v>15.93</v>
      </c>
      <c r="C231" s="11">
        <v>88</v>
      </c>
      <c r="D231" s="6">
        <v>50.823999999999998</v>
      </c>
      <c r="E231" s="5">
        <v>15.37</v>
      </c>
      <c r="F231" s="5">
        <v>13.35</v>
      </c>
      <c r="G231" s="5">
        <f t="shared" si="3"/>
        <v>2.0199999999999996</v>
      </c>
      <c r="H231" s="6">
        <v>313.11700000000002</v>
      </c>
      <c r="I231" s="7">
        <v>131.27000427246</v>
      </c>
      <c r="J231" s="7">
        <v>18.500613497752699</v>
      </c>
      <c r="K231" s="7">
        <v>0</v>
      </c>
    </row>
    <row r="232" spans="1:11" x14ac:dyDescent="0.3">
      <c r="A232" s="4">
        <v>29646</v>
      </c>
      <c r="B232" s="5">
        <v>14.7</v>
      </c>
      <c r="C232" s="11">
        <v>88.6</v>
      </c>
      <c r="D232" s="6">
        <v>51.082599999999999</v>
      </c>
      <c r="E232" s="5">
        <v>15.34</v>
      </c>
      <c r="F232" s="5">
        <v>13.33</v>
      </c>
      <c r="G232" s="5">
        <f t="shared" si="3"/>
        <v>2.0099999999999998</v>
      </c>
      <c r="H232" s="6">
        <v>314.39330000000001</v>
      </c>
      <c r="I232" s="7">
        <v>136</v>
      </c>
      <c r="J232" s="7">
        <v>19.571935184706899</v>
      </c>
      <c r="K232" s="7">
        <v>0</v>
      </c>
    </row>
    <row r="233" spans="1:11" x14ac:dyDescent="0.3">
      <c r="A233" s="4">
        <v>29677</v>
      </c>
      <c r="B233" s="5">
        <v>15.72</v>
      </c>
      <c r="C233" s="11">
        <v>89.1</v>
      </c>
      <c r="D233" s="6">
        <v>50.857999999999997</v>
      </c>
      <c r="E233" s="5">
        <v>15.56</v>
      </c>
      <c r="F233" s="5">
        <v>13.88</v>
      </c>
      <c r="G233" s="5">
        <f t="shared" si="3"/>
        <v>1.6799999999999997</v>
      </c>
      <c r="H233" s="6">
        <v>318.50240000000002</v>
      </c>
      <c r="I233" s="7">
        <v>132.80999755859301</v>
      </c>
      <c r="J233" s="7">
        <v>12.758564639771899</v>
      </c>
      <c r="K233" s="7">
        <v>0</v>
      </c>
    </row>
    <row r="234" spans="1:11" x14ac:dyDescent="0.3">
      <c r="A234" s="4">
        <v>29707</v>
      </c>
      <c r="B234" s="5">
        <v>18.52</v>
      </c>
      <c r="C234" s="11">
        <v>89.7</v>
      </c>
      <c r="D234" s="6">
        <v>51.149500000000003</v>
      </c>
      <c r="E234" s="5">
        <v>15.95</v>
      </c>
      <c r="F234" s="5">
        <v>14.32</v>
      </c>
      <c r="G234" s="5">
        <f t="shared" si="3"/>
        <v>1.629999999999999</v>
      </c>
      <c r="H234" s="6">
        <v>324.08</v>
      </c>
      <c r="I234" s="7">
        <v>132.58999633789</v>
      </c>
      <c r="J234" s="7">
        <v>14.0143256063221</v>
      </c>
      <c r="K234" s="7">
        <v>0</v>
      </c>
    </row>
    <row r="235" spans="1:11" x14ac:dyDescent="0.3">
      <c r="A235" s="4">
        <v>29738</v>
      </c>
      <c r="B235" s="5">
        <v>19.100000000000001</v>
      </c>
      <c r="C235" s="11">
        <v>90.5</v>
      </c>
      <c r="D235" s="6">
        <v>51.4101</v>
      </c>
      <c r="E235" s="5">
        <v>15.8</v>
      </c>
      <c r="F235" s="5">
        <v>13.75</v>
      </c>
      <c r="G235" s="5">
        <f t="shared" si="3"/>
        <v>2.0500000000000007</v>
      </c>
      <c r="H235" s="6">
        <v>328.17259999999999</v>
      </c>
      <c r="I235" s="7">
        <v>131.21000671386699</v>
      </c>
      <c r="J235" s="7">
        <v>13.802897884814399</v>
      </c>
      <c r="K235" s="7">
        <v>0</v>
      </c>
    </row>
    <row r="236" spans="1:11" x14ac:dyDescent="0.3">
      <c r="A236" s="4">
        <v>29768</v>
      </c>
      <c r="B236" s="5">
        <v>19.04</v>
      </c>
      <c r="C236" s="11">
        <v>91.5</v>
      </c>
      <c r="D236" s="6">
        <v>51.747100000000003</v>
      </c>
      <c r="E236" s="5">
        <v>16.170000000000002</v>
      </c>
      <c r="F236" s="5">
        <v>14.38</v>
      </c>
      <c r="G236" s="5">
        <f t="shared" si="3"/>
        <v>1.7900000000000009</v>
      </c>
      <c r="H236" s="6">
        <v>331.8571</v>
      </c>
      <c r="I236" s="7">
        <v>130.919998168945</v>
      </c>
      <c r="J236" s="7">
        <v>14.569151641872001</v>
      </c>
      <c r="K236" s="7">
        <v>0</v>
      </c>
    </row>
    <row r="237" spans="1:11" x14ac:dyDescent="0.3">
      <c r="A237" s="4">
        <v>29799</v>
      </c>
      <c r="B237" s="5">
        <v>17.82</v>
      </c>
      <c r="C237" s="11">
        <v>92.2</v>
      </c>
      <c r="D237" s="6">
        <v>51.682600000000001</v>
      </c>
      <c r="E237" s="5">
        <v>16.34</v>
      </c>
      <c r="F237" s="5">
        <v>14.89</v>
      </c>
      <c r="G237" s="5">
        <f t="shared" si="3"/>
        <v>1.4499999999999993</v>
      </c>
      <c r="H237" s="6">
        <v>336.52300000000002</v>
      </c>
      <c r="I237" s="7">
        <v>122.790000915527</v>
      </c>
      <c r="J237" s="7">
        <v>18.2758154660822</v>
      </c>
      <c r="K237" s="7">
        <v>0</v>
      </c>
    </row>
    <row r="238" spans="1:11" x14ac:dyDescent="0.3">
      <c r="A238" s="4">
        <v>29830</v>
      </c>
      <c r="B238" s="5">
        <v>15.87</v>
      </c>
      <c r="C238" s="11">
        <v>93.1</v>
      </c>
      <c r="D238" s="6">
        <v>51.433700000000002</v>
      </c>
      <c r="E238" s="5">
        <v>16.920000000000002</v>
      </c>
      <c r="F238" s="5">
        <v>15.49</v>
      </c>
      <c r="G238" s="5">
        <f t="shared" si="3"/>
        <v>1.4300000000000015</v>
      </c>
      <c r="H238" s="6">
        <v>338.1155</v>
      </c>
      <c r="I238" s="7">
        <v>116.180000305175</v>
      </c>
      <c r="J238" s="7">
        <v>22.982126349219602</v>
      </c>
      <c r="K238" s="7">
        <v>1</v>
      </c>
    </row>
    <row r="239" spans="1:11" x14ac:dyDescent="0.3">
      <c r="A239" s="4">
        <v>29860</v>
      </c>
      <c r="B239" s="5">
        <v>15.08</v>
      </c>
      <c r="C239" s="11">
        <v>93.4</v>
      </c>
      <c r="D239" s="6">
        <v>51.028100000000002</v>
      </c>
      <c r="E239" s="5">
        <v>17.11</v>
      </c>
      <c r="F239" s="5">
        <v>15.4</v>
      </c>
      <c r="G239" s="5">
        <f t="shared" si="3"/>
        <v>1.7099999999999991</v>
      </c>
      <c r="H239" s="6">
        <v>341.19889999999998</v>
      </c>
      <c r="I239" s="7">
        <v>121.889999389648</v>
      </c>
      <c r="J239" s="7">
        <v>19.3514963642683</v>
      </c>
      <c r="K239" s="7">
        <v>0</v>
      </c>
    </row>
    <row r="240" spans="1:11" x14ac:dyDescent="0.3">
      <c r="A240" s="4">
        <v>29891</v>
      </c>
      <c r="B240" s="5">
        <v>13.31</v>
      </c>
      <c r="C240" s="11">
        <v>93.8</v>
      </c>
      <c r="D240" s="6">
        <v>50.435000000000002</v>
      </c>
      <c r="E240" s="5">
        <v>16.39</v>
      </c>
      <c r="F240" s="5">
        <v>14.22</v>
      </c>
      <c r="G240" s="5">
        <f t="shared" si="3"/>
        <v>2.17</v>
      </c>
      <c r="H240" s="6">
        <v>345.50880000000001</v>
      </c>
      <c r="I240" s="7">
        <v>126.34999847412099</v>
      </c>
      <c r="J240" s="7">
        <v>17.423900672928202</v>
      </c>
      <c r="K240" s="7">
        <v>0</v>
      </c>
    </row>
    <row r="241" spans="1:11" x14ac:dyDescent="0.3">
      <c r="A241" s="4">
        <v>29921</v>
      </c>
      <c r="B241" s="5">
        <v>12.37</v>
      </c>
      <c r="C241" s="11">
        <v>94.1</v>
      </c>
      <c r="D241" s="6">
        <v>49.898699999999998</v>
      </c>
      <c r="E241" s="5">
        <v>16.55</v>
      </c>
      <c r="F241" s="5">
        <v>14.23</v>
      </c>
      <c r="G241" s="5">
        <f t="shared" si="3"/>
        <v>2.3200000000000003</v>
      </c>
      <c r="H241" s="6">
        <v>350.30770000000001</v>
      </c>
      <c r="I241" s="7">
        <v>122.550003051757</v>
      </c>
      <c r="J241" s="7">
        <v>12.9199085141724</v>
      </c>
      <c r="K241" s="7">
        <v>0</v>
      </c>
    </row>
    <row r="242" spans="1:11" x14ac:dyDescent="0.3">
      <c r="A242" s="4">
        <v>29952</v>
      </c>
      <c r="B242" s="5">
        <v>13.22</v>
      </c>
      <c r="C242" s="11">
        <v>94.4</v>
      </c>
      <c r="D242" s="6">
        <v>48.868499999999997</v>
      </c>
      <c r="E242" s="5">
        <v>17.100000000000001</v>
      </c>
      <c r="F242" s="5">
        <v>15.18</v>
      </c>
      <c r="G242" s="5">
        <f t="shared" si="3"/>
        <v>1.9200000000000017</v>
      </c>
      <c r="H242" s="6">
        <v>354.84550000000002</v>
      </c>
      <c r="I242" s="7">
        <v>120.400001525878</v>
      </c>
      <c r="J242" s="7">
        <v>23.074633542199201</v>
      </c>
      <c r="K242" s="7">
        <v>1</v>
      </c>
    </row>
    <row r="243" spans="1:11" x14ac:dyDescent="0.3">
      <c r="A243" s="4">
        <v>29983</v>
      </c>
      <c r="B243" s="5">
        <v>14.78</v>
      </c>
      <c r="C243" s="11">
        <v>94.7</v>
      </c>
      <c r="D243" s="6">
        <v>49.863599999999998</v>
      </c>
      <c r="E243" s="5">
        <v>17.18</v>
      </c>
      <c r="F243" s="5">
        <v>15.27</v>
      </c>
      <c r="G243" s="5">
        <f t="shared" si="3"/>
        <v>1.9100000000000001</v>
      </c>
      <c r="H243" s="6">
        <v>360.71370000000002</v>
      </c>
      <c r="I243" s="7">
        <v>113.11000061035099</v>
      </c>
      <c r="J243" s="7">
        <v>19.707494648911801</v>
      </c>
      <c r="K243" s="7">
        <v>0</v>
      </c>
    </row>
    <row r="244" spans="1:11" x14ac:dyDescent="0.3">
      <c r="A244" s="4">
        <v>30011</v>
      </c>
      <c r="B244" s="5">
        <v>14.68</v>
      </c>
      <c r="C244" s="11">
        <v>94.7</v>
      </c>
      <c r="D244" s="6">
        <v>49.532299999999999</v>
      </c>
      <c r="E244" s="5">
        <v>16.82</v>
      </c>
      <c r="F244" s="5">
        <v>14.58</v>
      </c>
      <c r="G244" s="5">
        <f t="shared" si="3"/>
        <v>2.2400000000000002</v>
      </c>
      <c r="H244" s="6">
        <v>363.97460000000001</v>
      </c>
      <c r="I244" s="7">
        <v>111.959999084472</v>
      </c>
      <c r="J244" s="7">
        <v>18.115861858753998</v>
      </c>
      <c r="K244" s="7">
        <v>0</v>
      </c>
    </row>
    <row r="245" spans="1:11" x14ac:dyDescent="0.3">
      <c r="A245" s="4">
        <v>30042</v>
      </c>
      <c r="B245" s="5">
        <v>14.94</v>
      </c>
      <c r="C245" s="11">
        <v>95</v>
      </c>
      <c r="D245" s="6">
        <v>49.075000000000003</v>
      </c>
      <c r="E245" s="5">
        <v>16.78</v>
      </c>
      <c r="F245" s="5">
        <v>14.46</v>
      </c>
      <c r="G245" s="5">
        <f t="shared" si="3"/>
        <v>2.3200000000000003</v>
      </c>
      <c r="H245" s="6">
        <v>371.05650000000003</v>
      </c>
      <c r="I245" s="7">
        <v>116.44000244140599</v>
      </c>
      <c r="J245" s="7">
        <v>15.318743095389401</v>
      </c>
      <c r="K245" s="7">
        <v>0</v>
      </c>
    </row>
    <row r="246" spans="1:11" x14ac:dyDescent="0.3">
      <c r="A246" s="4">
        <v>30072</v>
      </c>
      <c r="B246" s="5">
        <v>14.45</v>
      </c>
      <c r="C246" s="11">
        <v>95.9</v>
      </c>
      <c r="D246" s="6">
        <v>48.7483</v>
      </c>
      <c r="E246" s="5">
        <v>16.64</v>
      </c>
      <c r="F246" s="5">
        <v>14.26</v>
      </c>
      <c r="G246" s="5">
        <f t="shared" si="3"/>
        <v>2.3800000000000008</v>
      </c>
      <c r="H246" s="6">
        <v>375.98230000000001</v>
      </c>
      <c r="I246" s="7">
        <v>111.879997253417</v>
      </c>
      <c r="J246" s="7">
        <v>12.8490243683227</v>
      </c>
      <c r="K246" s="7">
        <v>0</v>
      </c>
    </row>
    <row r="247" spans="1:11" x14ac:dyDescent="0.3">
      <c r="A247" s="4">
        <v>30103</v>
      </c>
      <c r="B247" s="5">
        <v>14.15</v>
      </c>
      <c r="C247" s="11">
        <v>97</v>
      </c>
      <c r="D247" s="6">
        <v>48.621400000000001</v>
      </c>
      <c r="E247" s="5">
        <v>16.920000000000002</v>
      </c>
      <c r="F247" s="5">
        <v>14.81</v>
      </c>
      <c r="G247" s="5">
        <f t="shared" si="3"/>
        <v>2.1100000000000012</v>
      </c>
      <c r="H247" s="6">
        <v>380.56420000000003</v>
      </c>
      <c r="I247" s="7">
        <v>109.61000061035099</v>
      </c>
      <c r="J247" s="7">
        <v>16.791357938631201</v>
      </c>
      <c r="K247" s="7">
        <v>0</v>
      </c>
    </row>
    <row r="248" spans="1:11" x14ac:dyDescent="0.3">
      <c r="A248" s="4">
        <v>30133</v>
      </c>
      <c r="B248" s="5">
        <v>12.59</v>
      </c>
      <c r="C248" s="11">
        <v>97.5</v>
      </c>
      <c r="D248" s="6">
        <v>48.461599999999997</v>
      </c>
      <c r="E248" s="5">
        <v>16.8</v>
      </c>
      <c r="F248" s="5">
        <v>14.61</v>
      </c>
      <c r="G248" s="5">
        <f t="shared" si="3"/>
        <v>2.1900000000000013</v>
      </c>
      <c r="H248" s="6">
        <v>384.0437</v>
      </c>
      <c r="I248" s="7">
        <v>107.08999633789</v>
      </c>
      <c r="J248" s="7">
        <v>13.7171882213835</v>
      </c>
      <c r="K248" s="7">
        <v>0</v>
      </c>
    </row>
    <row r="249" spans="1:11" x14ac:dyDescent="0.3">
      <c r="A249" s="4">
        <v>30164</v>
      </c>
      <c r="B249" s="5">
        <v>10.119999999999999</v>
      </c>
      <c r="C249" s="11">
        <v>97.7</v>
      </c>
      <c r="D249" s="6">
        <v>48.019199999999998</v>
      </c>
      <c r="E249" s="5">
        <v>16.32</v>
      </c>
      <c r="F249" s="5">
        <v>13.71</v>
      </c>
      <c r="G249" s="5">
        <f t="shared" si="3"/>
        <v>2.6099999999999994</v>
      </c>
      <c r="H249" s="6">
        <v>385.85930000000002</v>
      </c>
      <c r="I249" s="7">
        <v>119.51000213623</v>
      </c>
      <c r="J249" s="7">
        <v>33.038105149028802</v>
      </c>
      <c r="K249" s="7">
        <v>1</v>
      </c>
    </row>
    <row r="250" spans="1:11" x14ac:dyDescent="0.3">
      <c r="A250" s="4">
        <v>30195</v>
      </c>
      <c r="B250" s="5">
        <v>10.31</v>
      </c>
      <c r="C250" s="11">
        <v>97.7</v>
      </c>
      <c r="D250" s="6">
        <v>47.900799999999997</v>
      </c>
      <c r="E250" s="5">
        <v>15.63</v>
      </c>
      <c r="F250" s="5">
        <v>12.94</v>
      </c>
      <c r="G250" s="5">
        <f t="shared" si="3"/>
        <v>2.6900000000000013</v>
      </c>
      <c r="H250" s="6">
        <v>391.0385</v>
      </c>
      <c r="I250" s="7">
        <v>120.419998168945</v>
      </c>
      <c r="J250" s="7">
        <v>20.6359003271155</v>
      </c>
      <c r="K250" s="7">
        <v>0</v>
      </c>
    </row>
    <row r="251" spans="1:11" x14ac:dyDescent="0.3">
      <c r="A251" s="4">
        <v>30225</v>
      </c>
      <c r="B251" s="5">
        <v>9.7100000000000009</v>
      </c>
      <c r="C251" s="11">
        <v>98.1</v>
      </c>
      <c r="D251" s="6">
        <v>47.437100000000001</v>
      </c>
      <c r="E251" s="5">
        <v>14.73</v>
      </c>
      <c r="F251" s="5">
        <v>12.12</v>
      </c>
      <c r="G251" s="5">
        <f t="shared" si="3"/>
        <v>2.6100000000000012</v>
      </c>
      <c r="H251" s="6">
        <v>392.39170000000001</v>
      </c>
      <c r="I251" s="7">
        <v>133.72000122070301</v>
      </c>
      <c r="J251" s="7">
        <v>33.538004288091201</v>
      </c>
      <c r="K251" s="7">
        <v>1</v>
      </c>
    </row>
    <row r="252" spans="1:11" x14ac:dyDescent="0.3">
      <c r="A252" s="4">
        <v>30256</v>
      </c>
      <c r="B252" s="5">
        <v>9.1999999999999993</v>
      </c>
      <c r="C252" s="11">
        <v>98</v>
      </c>
      <c r="D252" s="6">
        <v>47.283000000000001</v>
      </c>
      <c r="E252" s="5">
        <v>14.3</v>
      </c>
      <c r="F252" s="5">
        <v>11.68</v>
      </c>
      <c r="G252" s="5">
        <f t="shared" si="3"/>
        <v>2.620000000000001</v>
      </c>
      <c r="H252" s="6">
        <v>391.9751</v>
      </c>
      <c r="I252" s="7">
        <v>138.52999877929599</v>
      </c>
      <c r="J252" s="7">
        <v>32.802922361067402</v>
      </c>
      <c r="K252" s="7">
        <v>1</v>
      </c>
    </row>
    <row r="253" spans="1:11" x14ac:dyDescent="0.3">
      <c r="A253" s="4">
        <v>30286</v>
      </c>
      <c r="B253" s="5">
        <v>8.9499999999999993</v>
      </c>
      <c r="C253" s="11">
        <v>97.7</v>
      </c>
      <c r="D253" s="6">
        <v>46.948500000000003</v>
      </c>
      <c r="E253" s="5">
        <v>14.14</v>
      </c>
      <c r="F253" s="5">
        <v>11.83</v>
      </c>
      <c r="G253" s="5">
        <f t="shared" si="3"/>
        <v>2.3100000000000005</v>
      </c>
      <c r="H253" s="6">
        <v>392.0419</v>
      </c>
      <c r="I253" s="7">
        <v>140.63999938964801</v>
      </c>
      <c r="J253" s="7">
        <v>21.768314498235402</v>
      </c>
      <c r="K253" s="7">
        <v>1</v>
      </c>
    </row>
    <row r="254" spans="1:11" x14ac:dyDescent="0.3">
      <c r="A254" s="4">
        <v>30317</v>
      </c>
      <c r="B254" s="5">
        <v>8.68</v>
      </c>
      <c r="C254" s="11">
        <v>97.9</v>
      </c>
      <c r="D254" s="6">
        <v>47.823399999999999</v>
      </c>
      <c r="E254" s="5">
        <v>13.94</v>
      </c>
      <c r="F254" s="5">
        <v>11.79</v>
      </c>
      <c r="G254" s="5">
        <f t="shared" si="3"/>
        <v>2.1500000000000004</v>
      </c>
      <c r="H254" s="6">
        <v>393.18639999999999</v>
      </c>
      <c r="I254" s="7">
        <v>145.30000305175699</v>
      </c>
      <c r="J254" s="7">
        <v>25.510134686278199</v>
      </c>
      <c r="K254" s="7">
        <v>1</v>
      </c>
    </row>
    <row r="255" spans="1:11" x14ac:dyDescent="0.3">
      <c r="A255" s="4">
        <v>30348</v>
      </c>
      <c r="B255" s="5">
        <v>8.51</v>
      </c>
      <c r="C255" s="11">
        <v>98</v>
      </c>
      <c r="D255" s="6">
        <v>47.523299999999999</v>
      </c>
      <c r="E255" s="5">
        <v>13.95</v>
      </c>
      <c r="F255" s="5">
        <v>12.01</v>
      </c>
      <c r="G255" s="5">
        <f t="shared" si="3"/>
        <v>1.9399999999999995</v>
      </c>
      <c r="H255" s="6">
        <v>393.35559999999998</v>
      </c>
      <c r="I255" s="7">
        <v>148.05999755859301</v>
      </c>
      <c r="J255" s="7">
        <v>20.561483089251901</v>
      </c>
      <c r="K255" s="7">
        <v>0</v>
      </c>
    </row>
    <row r="256" spans="1:11" x14ac:dyDescent="0.3">
      <c r="A256" s="4">
        <v>30376</v>
      </c>
      <c r="B256" s="5">
        <v>8.77</v>
      </c>
      <c r="C256" s="11">
        <v>98.1</v>
      </c>
      <c r="D256" s="6">
        <v>47.924399999999999</v>
      </c>
      <c r="E256" s="5">
        <v>13.61</v>
      </c>
      <c r="F256" s="5">
        <v>11.73</v>
      </c>
      <c r="G256" s="5">
        <f t="shared" si="3"/>
        <v>1.879999999999999</v>
      </c>
      <c r="H256" s="6">
        <v>393.8048</v>
      </c>
      <c r="I256" s="7">
        <v>152.96000671386699</v>
      </c>
      <c r="J256" s="7">
        <v>16.673764670230099</v>
      </c>
      <c r="K256" s="7">
        <v>0</v>
      </c>
    </row>
    <row r="257" spans="1:11" x14ac:dyDescent="0.3">
      <c r="A257" s="4">
        <v>30407</v>
      </c>
      <c r="B257" s="5">
        <v>8.8000000000000007</v>
      </c>
      <c r="C257" s="11">
        <v>98.8</v>
      </c>
      <c r="D257" s="6">
        <v>48.531100000000002</v>
      </c>
      <c r="E257" s="5">
        <v>13.29</v>
      </c>
      <c r="F257" s="5">
        <v>11.51</v>
      </c>
      <c r="G257" s="5">
        <f t="shared" si="3"/>
        <v>1.7799999999999994</v>
      </c>
      <c r="H257" s="6">
        <v>392.42590000000001</v>
      </c>
      <c r="I257" s="7">
        <v>164.42999267578099</v>
      </c>
      <c r="J257" s="7">
        <v>15.622086089933999</v>
      </c>
      <c r="K257" s="7">
        <v>0</v>
      </c>
    </row>
    <row r="258" spans="1:11" x14ac:dyDescent="0.3">
      <c r="A258" s="4">
        <v>30437</v>
      </c>
      <c r="B258" s="5">
        <v>8.6300000000000008</v>
      </c>
      <c r="C258" s="11">
        <v>99.2</v>
      </c>
      <c r="D258" s="6">
        <v>48.823900000000002</v>
      </c>
      <c r="E258" s="5">
        <v>13.09</v>
      </c>
      <c r="F258" s="5">
        <v>11.46</v>
      </c>
      <c r="G258" s="5">
        <f t="shared" si="3"/>
        <v>1.629999999999999</v>
      </c>
      <c r="H258" s="6">
        <v>391.49059999999997</v>
      </c>
      <c r="I258" s="7">
        <v>162.38999938964801</v>
      </c>
      <c r="J258" s="7">
        <v>14.770782058095801</v>
      </c>
      <c r="K258" s="7">
        <v>0</v>
      </c>
    </row>
    <row r="259" spans="1:11" x14ac:dyDescent="0.3">
      <c r="A259" s="4">
        <v>30468</v>
      </c>
      <c r="B259" s="5">
        <v>8.98</v>
      </c>
      <c r="C259" s="11">
        <v>99.4</v>
      </c>
      <c r="D259" s="6">
        <v>49.122999999999998</v>
      </c>
      <c r="E259" s="5">
        <v>13.37</v>
      </c>
      <c r="F259" s="5">
        <v>11.74</v>
      </c>
      <c r="G259" s="5">
        <f t="shared" ref="G259:G322" si="4">E259-F259</f>
        <v>1.629999999999999</v>
      </c>
      <c r="H259" s="6">
        <v>393.83949999999999</v>
      </c>
      <c r="I259" s="7">
        <v>167.63999938964801</v>
      </c>
      <c r="J259" s="7">
        <v>15.881564118603</v>
      </c>
      <c r="K259" s="7">
        <v>0</v>
      </c>
    </row>
    <row r="260" spans="1:11" x14ac:dyDescent="0.3">
      <c r="A260" s="4">
        <v>30498</v>
      </c>
      <c r="B260" s="5">
        <v>9.3699999999999992</v>
      </c>
      <c r="C260" s="11">
        <v>99.8</v>
      </c>
      <c r="D260" s="6">
        <v>49.854599999999998</v>
      </c>
      <c r="E260" s="5">
        <v>13.39</v>
      </c>
      <c r="F260" s="5">
        <v>12.15</v>
      </c>
      <c r="G260" s="5">
        <f t="shared" si="4"/>
        <v>1.2400000000000002</v>
      </c>
      <c r="H260" s="6">
        <v>397.79450000000003</v>
      </c>
      <c r="I260" s="7">
        <v>162.55999755859301</v>
      </c>
      <c r="J260" s="7">
        <v>21.913273264417999</v>
      </c>
      <c r="K260" s="7">
        <v>1</v>
      </c>
    </row>
    <row r="261" spans="1:11" x14ac:dyDescent="0.3">
      <c r="A261" s="4">
        <v>30529</v>
      </c>
      <c r="B261" s="5">
        <v>9.56</v>
      </c>
      <c r="C261" s="11">
        <v>100.1</v>
      </c>
      <c r="D261" s="6">
        <v>50.444299999999998</v>
      </c>
      <c r="E261" s="5">
        <v>13.64</v>
      </c>
      <c r="F261" s="5">
        <v>12.51</v>
      </c>
      <c r="G261" s="5">
        <f t="shared" si="4"/>
        <v>1.1300000000000008</v>
      </c>
      <c r="H261" s="6">
        <v>401.58659999999998</v>
      </c>
      <c r="I261" s="7">
        <v>164.39999389648401</v>
      </c>
      <c r="J261" s="7">
        <v>15.817863457082099</v>
      </c>
      <c r="K261" s="7">
        <v>0</v>
      </c>
    </row>
    <row r="262" spans="1:11" x14ac:dyDescent="0.3">
      <c r="A262" s="4">
        <v>30560</v>
      </c>
      <c r="B262" s="5">
        <v>9.4499999999999993</v>
      </c>
      <c r="C262" s="11">
        <v>100.4</v>
      </c>
      <c r="D262" s="6">
        <v>51.177999999999997</v>
      </c>
      <c r="E262" s="5">
        <v>13.55</v>
      </c>
      <c r="F262" s="5">
        <v>12.37</v>
      </c>
      <c r="G262" s="5">
        <f t="shared" si="4"/>
        <v>1.1800000000000015</v>
      </c>
      <c r="H262" s="6">
        <v>402.529</v>
      </c>
      <c r="I262" s="7">
        <v>166.07000732421801</v>
      </c>
      <c r="J262" s="7">
        <v>14.499950244871499</v>
      </c>
      <c r="K262" s="7">
        <v>0</v>
      </c>
    </row>
    <row r="263" spans="1:11" x14ac:dyDescent="0.3">
      <c r="A263" s="4">
        <v>30590</v>
      </c>
      <c r="B263" s="5">
        <v>9.48</v>
      </c>
      <c r="C263" s="11">
        <v>100.8</v>
      </c>
      <c r="D263" s="6">
        <v>51.569299999999998</v>
      </c>
      <c r="E263" s="5">
        <v>13.46</v>
      </c>
      <c r="F263" s="5">
        <v>12.25</v>
      </c>
      <c r="G263" s="5">
        <f t="shared" si="4"/>
        <v>1.2100000000000009</v>
      </c>
      <c r="H263" s="6">
        <v>405.74860000000001</v>
      </c>
      <c r="I263" s="7">
        <v>163.55000305175699</v>
      </c>
      <c r="J263" s="7">
        <v>14.931692308603299</v>
      </c>
      <c r="K263" s="7">
        <v>0</v>
      </c>
    </row>
    <row r="264" spans="1:11" x14ac:dyDescent="0.3">
      <c r="A264" s="4">
        <v>30621</v>
      </c>
      <c r="B264" s="5">
        <v>9.34</v>
      </c>
      <c r="C264" s="11">
        <v>101.1</v>
      </c>
      <c r="D264" s="6">
        <v>51.799300000000002</v>
      </c>
      <c r="E264" s="5">
        <v>13.61</v>
      </c>
      <c r="F264" s="5">
        <v>12.41</v>
      </c>
      <c r="G264" s="5">
        <f t="shared" si="4"/>
        <v>1.1999999999999993</v>
      </c>
      <c r="H264" s="6">
        <v>409.61739999999998</v>
      </c>
      <c r="I264" s="7">
        <v>166.39999389648401</v>
      </c>
      <c r="J264" s="7">
        <v>12.8343912622151</v>
      </c>
      <c r="K264" s="7">
        <v>0</v>
      </c>
    </row>
    <row r="265" spans="1:11" x14ac:dyDescent="0.3">
      <c r="A265" s="4">
        <v>30651</v>
      </c>
      <c r="B265" s="5">
        <v>9.4700000000000006</v>
      </c>
      <c r="C265" s="11">
        <v>101.4</v>
      </c>
      <c r="D265" s="6">
        <v>52.059399999999997</v>
      </c>
      <c r="E265" s="5">
        <v>13.75</v>
      </c>
      <c r="F265" s="5">
        <v>12.57</v>
      </c>
      <c r="G265" s="5">
        <f t="shared" si="4"/>
        <v>1.1799999999999997</v>
      </c>
      <c r="H265" s="6">
        <v>413.94040000000001</v>
      </c>
      <c r="I265" s="7">
        <v>164.92999267578099</v>
      </c>
      <c r="J265" s="7">
        <v>10.3063639089099</v>
      </c>
      <c r="K265" s="7">
        <v>0</v>
      </c>
    </row>
    <row r="266" spans="1:11" x14ac:dyDescent="0.3">
      <c r="A266" s="4">
        <v>30682</v>
      </c>
      <c r="B266" s="5">
        <v>9.56</v>
      </c>
      <c r="C266" s="11">
        <v>102.1</v>
      </c>
      <c r="D266" s="6">
        <v>53.098500000000001</v>
      </c>
      <c r="E266" s="5">
        <v>13.65</v>
      </c>
      <c r="F266" s="5">
        <v>12.2</v>
      </c>
      <c r="G266" s="5">
        <f t="shared" si="4"/>
        <v>1.4500000000000011</v>
      </c>
      <c r="H266" s="6">
        <v>415.60539999999997</v>
      </c>
      <c r="I266" s="7">
        <v>163.41000366210901</v>
      </c>
      <c r="J266" s="7">
        <v>12.5807062776076</v>
      </c>
      <c r="K266" s="7">
        <v>0</v>
      </c>
    </row>
    <row r="267" spans="1:11" x14ac:dyDescent="0.3">
      <c r="A267" s="4">
        <v>30713</v>
      </c>
      <c r="B267" s="5">
        <v>9.59</v>
      </c>
      <c r="C267" s="11">
        <v>102.6</v>
      </c>
      <c r="D267" s="6">
        <v>53.331800000000001</v>
      </c>
      <c r="E267" s="5">
        <v>13.59</v>
      </c>
      <c r="F267" s="5">
        <v>12.08</v>
      </c>
      <c r="G267" s="5">
        <f t="shared" si="4"/>
        <v>1.5099999999999998</v>
      </c>
      <c r="H267" s="6">
        <v>423.58080000000001</v>
      </c>
      <c r="I267" s="7">
        <v>157.05999755859301</v>
      </c>
      <c r="J267" s="7">
        <v>20.333130294475598</v>
      </c>
      <c r="K267" s="7">
        <v>0</v>
      </c>
    </row>
    <row r="268" spans="1:11" x14ac:dyDescent="0.3">
      <c r="A268" s="4">
        <v>30742</v>
      </c>
      <c r="B268" s="5">
        <v>9.91</v>
      </c>
      <c r="C268" s="11">
        <v>102.9</v>
      </c>
      <c r="D268" s="6">
        <v>53.5929</v>
      </c>
      <c r="E268" s="5">
        <v>13.99</v>
      </c>
      <c r="F268" s="5">
        <v>12.57</v>
      </c>
      <c r="G268" s="5">
        <f t="shared" si="4"/>
        <v>1.42</v>
      </c>
      <c r="H268" s="6">
        <v>430.94630000000001</v>
      </c>
      <c r="I268" s="7">
        <v>159.17999267578099</v>
      </c>
      <c r="J268" s="7">
        <v>16.054816064714601</v>
      </c>
      <c r="K268" s="7">
        <v>0</v>
      </c>
    </row>
    <row r="269" spans="1:11" x14ac:dyDescent="0.3">
      <c r="A269" s="4">
        <v>30773</v>
      </c>
      <c r="B269" s="5">
        <v>10.29</v>
      </c>
      <c r="C269" s="11">
        <v>103.3</v>
      </c>
      <c r="D269" s="6">
        <v>53.91</v>
      </c>
      <c r="E269" s="5">
        <v>14.31</v>
      </c>
      <c r="F269" s="5">
        <v>12.81</v>
      </c>
      <c r="G269" s="5">
        <f t="shared" si="4"/>
        <v>1.5</v>
      </c>
      <c r="H269" s="6">
        <v>437.8374</v>
      </c>
      <c r="I269" s="7">
        <v>160.05000305175699</v>
      </c>
      <c r="J269" s="7">
        <v>14.7960298076757</v>
      </c>
      <c r="K269" s="7">
        <v>0</v>
      </c>
    </row>
    <row r="270" spans="1:11" x14ac:dyDescent="0.3">
      <c r="A270" s="4">
        <v>30803</v>
      </c>
      <c r="B270" s="5">
        <v>10.32</v>
      </c>
      <c r="C270" s="11">
        <v>103.5</v>
      </c>
      <c r="D270" s="6">
        <v>54.202599999999997</v>
      </c>
      <c r="E270" s="5">
        <v>14.74</v>
      </c>
      <c r="F270" s="5">
        <v>13.28</v>
      </c>
      <c r="G270" s="5">
        <f t="shared" si="4"/>
        <v>1.4600000000000009</v>
      </c>
      <c r="H270" s="6">
        <v>446.31830000000002</v>
      </c>
      <c r="I270" s="7">
        <v>150.55000305175699</v>
      </c>
      <c r="J270" s="7">
        <v>12.148177803065799</v>
      </c>
      <c r="K270" s="7">
        <v>0</v>
      </c>
    </row>
    <row r="271" spans="1:11" x14ac:dyDescent="0.3">
      <c r="A271" s="4">
        <v>30834</v>
      </c>
      <c r="B271" s="5">
        <v>11.06</v>
      </c>
      <c r="C271" s="11">
        <v>103.7</v>
      </c>
      <c r="D271" s="6">
        <v>54.401400000000002</v>
      </c>
      <c r="E271" s="5">
        <v>15.05</v>
      </c>
      <c r="F271" s="5">
        <v>13.55</v>
      </c>
      <c r="G271" s="5">
        <f t="shared" si="4"/>
        <v>1.5</v>
      </c>
      <c r="H271" s="6">
        <v>450.97230000000002</v>
      </c>
      <c r="I271" s="7">
        <v>153.17999267578099</v>
      </c>
      <c r="J271" s="7">
        <v>18.241105946577001</v>
      </c>
      <c r="K271" s="7">
        <v>0</v>
      </c>
    </row>
    <row r="272" spans="1:11" x14ac:dyDescent="0.3">
      <c r="A272" s="4">
        <v>30864</v>
      </c>
      <c r="B272" s="5">
        <v>11.23</v>
      </c>
      <c r="C272" s="11">
        <v>104.1</v>
      </c>
      <c r="D272" s="6">
        <v>54.552100000000003</v>
      </c>
      <c r="E272" s="5">
        <v>15.15</v>
      </c>
      <c r="F272" s="5">
        <v>13.44</v>
      </c>
      <c r="G272" s="5">
        <f t="shared" si="4"/>
        <v>1.7100000000000009</v>
      </c>
      <c r="H272" s="6">
        <v>455.80090000000001</v>
      </c>
      <c r="I272" s="7">
        <v>150.66000366210901</v>
      </c>
      <c r="J272" s="7">
        <v>13.1324776069397</v>
      </c>
      <c r="K272" s="7">
        <v>0</v>
      </c>
    </row>
    <row r="273" spans="1:11" x14ac:dyDescent="0.3">
      <c r="A273" s="4">
        <v>30895</v>
      </c>
      <c r="B273" s="5">
        <v>11.64</v>
      </c>
      <c r="C273" s="11">
        <v>104.4</v>
      </c>
      <c r="D273" s="6">
        <v>54.6083</v>
      </c>
      <c r="E273" s="5">
        <v>14.63</v>
      </c>
      <c r="F273" s="5">
        <v>12.87</v>
      </c>
      <c r="G273" s="5">
        <f t="shared" si="4"/>
        <v>1.7600000000000016</v>
      </c>
      <c r="H273" s="6">
        <v>458.79250000000002</v>
      </c>
      <c r="I273" s="7">
        <v>166.67999267578099</v>
      </c>
      <c r="J273" s="7">
        <v>21.9038836252175</v>
      </c>
      <c r="K273" s="7">
        <v>1</v>
      </c>
    </row>
    <row r="274" spans="1:11" x14ac:dyDescent="0.3">
      <c r="A274" s="4">
        <v>30926</v>
      </c>
      <c r="B274" s="5">
        <v>11.3</v>
      </c>
      <c r="C274" s="11">
        <v>104.7</v>
      </c>
      <c r="D274" s="6">
        <v>54.446599999999997</v>
      </c>
      <c r="E274" s="5">
        <v>14.35</v>
      </c>
      <c r="F274" s="5">
        <v>12.66</v>
      </c>
      <c r="G274" s="5">
        <f t="shared" si="4"/>
        <v>1.6899999999999995</v>
      </c>
      <c r="H274" s="6">
        <v>461.91480000000001</v>
      </c>
      <c r="I274" s="7">
        <v>166.100006103515</v>
      </c>
      <c r="J274" s="7">
        <v>14.490159965823601</v>
      </c>
      <c r="K274" s="7">
        <v>0</v>
      </c>
    </row>
    <row r="275" spans="1:11" x14ac:dyDescent="0.3">
      <c r="A275" s="4">
        <v>30956</v>
      </c>
      <c r="B275" s="5">
        <v>9.99</v>
      </c>
      <c r="C275" s="11">
        <v>105.1</v>
      </c>
      <c r="D275" s="6">
        <v>54.440600000000003</v>
      </c>
      <c r="E275" s="5">
        <v>13.94</v>
      </c>
      <c r="F275" s="5">
        <v>12.63</v>
      </c>
      <c r="G275" s="5">
        <f t="shared" si="4"/>
        <v>1.3099999999999987</v>
      </c>
      <c r="H275" s="6">
        <v>466.35449999999997</v>
      </c>
      <c r="I275" s="7">
        <v>166.08999633789</v>
      </c>
      <c r="J275" s="7">
        <v>15.293441893931799</v>
      </c>
      <c r="K275" s="7">
        <v>0</v>
      </c>
    </row>
    <row r="276" spans="1:11" x14ac:dyDescent="0.3">
      <c r="A276" s="4">
        <v>30987</v>
      </c>
      <c r="B276" s="5">
        <v>9.43</v>
      </c>
      <c r="C276" s="11">
        <v>105.3</v>
      </c>
      <c r="D276" s="6">
        <v>54.624000000000002</v>
      </c>
      <c r="E276" s="5">
        <v>13.48</v>
      </c>
      <c r="F276" s="5">
        <v>12.29</v>
      </c>
      <c r="G276" s="5">
        <f t="shared" si="4"/>
        <v>1.1900000000000013</v>
      </c>
      <c r="H276" s="6">
        <v>470.96179999999998</v>
      </c>
      <c r="I276" s="7">
        <v>163.58000183105401</v>
      </c>
      <c r="J276" s="7">
        <v>14.271700888575801</v>
      </c>
      <c r="K276" s="7">
        <v>0</v>
      </c>
    </row>
    <row r="277" spans="1:11" x14ac:dyDescent="0.3">
      <c r="A277" s="4">
        <v>31017</v>
      </c>
      <c r="B277" s="5">
        <v>8.3800000000000008</v>
      </c>
      <c r="C277" s="11">
        <v>105.5</v>
      </c>
      <c r="D277" s="6">
        <v>54.641599999999997</v>
      </c>
      <c r="E277" s="5">
        <v>13.4</v>
      </c>
      <c r="F277" s="5">
        <v>12.13</v>
      </c>
      <c r="G277" s="5">
        <f t="shared" si="4"/>
        <v>1.2699999999999996</v>
      </c>
      <c r="H277" s="6">
        <v>473.35239999999999</v>
      </c>
      <c r="I277" s="7">
        <v>167.24000549316401</v>
      </c>
      <c r="J277" s="7">
        <v>15.5875426666867</v>
      </c>
      <c r="K277" s="7">
        <v>0</v>
      </c>
    </row>
    <row r="278" spans="1:11" x14ac:dyDescent="0.3">
      <c r="A278" s="4">
        <v>31048</v>
      </c>
      <c r="B278" s="5">
        <v>8.35</v>
      </c>
      <c r="C278" s="11">
        <v>105.7</v>
      </c>
      <c r="D278" s="6">
        <v>54.632199999999997</v>
      </c>
      <c r="E278" s="5">
        <v>13.26</v>
      </c>
      <c r="F278" s="5">
        <v>12.08</v>
      </c>
      <c r="G278" s="5">
        <f t="shared" si="4"/>
        <v>1.1799999999999997</v>
      </c>
      <c r="H278" s="6">
        <v>472.98680000000002</v>
      </c>
      <c r="I278" s="7">
        <v>179.63000488281199</v>
      </c>
      <c r="J278" s="7">
        <v>16.271671475956499</v>
      </c>
      <c r="K278" s="7">
        <v>0</v>
      </c>
    </row>
    <row r="279" spans="1:11" x14ac:dyDescent="0.3">
      <c r="A279" s="4">
        <v>31079</v>
      </c>
      <c r="B279" s="5">
        <v>8.5</v>
      </c>
      <c r="C279" s="11">
        <v>106.3</v>
      </c>
      <c r="D279" s="6">
        <v>54.782499999999999</v>
      </c>
      <c r="E279" s="5">
        <v>13.23</v>
      </c>
      <c r="F279" s="5">
        <v>12.13</v>
      </c>
      <c r="G279" s="5">
        <f t="shared" si="4"/>
        <v>1.0999999999999996</v>
      </c>
      <c r="H279" s="6">
        <v>476.25639999999999</v>
      </c>
      <c r="I279" s="7">
        <v>181.17999267578099</v>
      </c>
      <c r="J279" s="7">
        <v>12.8400603903979</v>
      </c>
      <c r="K279" s="7">
        <v>0</v>
      </c>
    </row>
    <row r="280" spans="1:11" x14ac:dyDescent="0.3">
      <c r="A280" s="4">
        <v>31107</v>
      </c>
      <c r="B280" s="5">
        <v>8.58</v>
      </c>
      <c r="C280" s="11">
        <v>106.8</v>
      </c>
      <c r="D280" s="6">
        <v>54.865299999999998</v>
      </c>
      <c r="E280" s="5">
        <v>13.69</v>
      </c>
      <c r="F280" s="5">
        <v>12.56</v>
      </c>
      <c r="G280" s="5">
        <f t="shared" si="4"/>
        <v>1.129999999999999</v>
      </c>
      <c r="H280" s="6">
        <v>480.09769999999997</v>
      </c>
      <c r="I280" s="7">
        <v>180.66000366210901</v>
      </c>
      <c r="J280" s="7">
        <v>12.6978539173928</v>
      </c>
      <c r="K280" s="7">
        <v>0</v>
      </c>
    </row>
    <row r="281" spans="1:11" x14ac:dyDescent="0.3">
      <c r="A281" s="4">
        <v>31138</v>
      </c>
      <c r="B281" s="5">
        <v>8.27</v>
      </c>
      <c r="C281" s="11">
        <v>107</v>
      </c>
      <c r="D281" s="6">
        <v>54.745899999999999</v>
      </c>
      <c r="E281" s="5">
        <v>13.51</v>
      </c>
      <c r="F281" s="5">
        <v>12.23</v>
      </c>
      <c r="G281" s="5">
        <f t="shared" si="4"/>
        <v>1.2799999999999994</v>
      </c>
      <c r="H281" s="6">
        <v>478.68790000000001</v>
      </c>
      <c r="I281" s="7">
        <v>179.83000183105401</v>
      </c>
      <c r="J281" s="7">
        <v>9.6249359429184693</v>
      </c>
      <c r="K281" s="7">
        <v>0</v>
      </c>
    </row>
    <row r="282" spans="1:11" x14ac:dyDescent="0.3">
      <c r="A282" s="4">
        <v>31168</v>
      </c>
      <c r="B282" s="5">
        <v>7.97</v>
      </c>
      <c r="C282" s="11">
        <v>107.2</v>
      </c>
      <c r="D282" s="6">
        <v>54.825499999999998</v>
      </c>
      <c r="E282" s="5">
        <v>13.15</v>
      </c>
      <c r="F282" s="5">
        <v>11.72</v>
      </c>
      <c r="G282" s="5">
        <f t="shared" si="4"/>
        <v>1.4299999999999997</v>
      </c>
      <c r="H282" s="6">
        <v>480.79520000000002</v>
      </c>
      <c r="I282" s="7">
        <v>189.55000305175699</v>
      </c>
      <c r="J282" s="7">
        <v>11.607994815675299</v>
      </c>
      <c r="K282" s="7">
        <v>0</v>
      </c>
    </row>
    <row r="283" spans="1:11" x14ac:dyDescent="0.3">
      <c r="A283" s="4">
        <v>31199</v>
      </c>
      <c r="B283" s="5">
        <v>7.53</v>
      </c>
      <c r="C283" s="11">
        <v>107.5</v>
      </c>
      <c r="D283" s="6">
        <v>54.798900000000003</v>
      </c>
      <c r="E283" s="5">
        <v>12.4</v>
      </c>
      <c r="F283" s="5">
        <v>10.94</v>
      </c>
      <c r="G283" s="5">
        <f t="shared" si="4"/>
        <v>1.4600000000000009</v>
      </c>
      <c r="H283" s="6">
        <v>482.35430000000002</v>
      </c>
      <c r="I283" s="7">
        <v>191.850006103515</v>
      </c>
      <c r="J283" s="7">
        <v>12.460499999982799</v>
      </c>
      <c r="K283" s="7">
        <v>0</v>
      </c>
    </row>
    <row r="284" spans="1:11" x14ac:dyDescent="0.3">
      <c r="A284" s="4">
        <v>31229</v>
      </c>
      <c r="B284" s="5">
        <v>7.88</v>
      </c>
      <c r="C284" s="11">
        <v>107.7</v>
      </c>
      <c r="D284" s="6">
        <v>54.5396</v>
      </c>
      <c r="E284" s="5">
        <v>12.43</v>
      </c>
      <c r="F284" s="5">
        <v>10.97</v>
      </c>
      <c r="G284" s="5">
        <f t="shared" si="4"/>
        <v>1.4599999999999991</v>
      </c>
      <c r="H284" s="6">
        <v>486.94830000000002</v>
      </c>
      <c r="I284" s="7">
        <v>190.919998168945</v>
      </c>
      <c r="J284" s="7">
        <v>11.756075615152399</v>
      </c>
      <c r="K284" s="7">
        <v>0</v>
      </c>
    </row>
    <row r="285" spans="1:11" x14ac:dyDescent="0.3">
      <c r="A285" s="4">
        <v>31260</v>
      </c>
      <c r="B285" s="5">
        <v>7.9</v>
      </c>
      <c r="C285" s="11">
        <v>107.9</v>
      </c>
      <c r="D285" s="6">
        <v>54.705500000000001</v>
      </c>
      <c r="E285" s="5">
        <v>12.5</v>
      </c>
      <c r="F285" s="5">
        <v>11.05</v>
      </c>
      <c r="G285" s="5">
        <f t="shared" si="4"/>
        <v>1.4499999999999993</v>
      </c>
      <c r="H285" s="6">
        <v>489.72719999999998</v>
      </c>
      <c r="I285" s="7">
        <v>188.63000488281199</v>
      </c>
      <c r="J285" s="7">
        <v>10.957611058215599</v>
      </c>
      <c r="K285" s="7">
        <v>0</v>
      </c>
    </row>
    <row r="286" spans="1:11" x14ac:dyDescent="0.3">
      <c r="A286" s="4">
        <v>31291</v>
      </c>
      <c r="B286" s="5">
        <v>7.92</v>
      </c>
      <c r="C286" s="11">
        <v>108.1</v>
      </c>
      <c r="D286" s="6">
        <v>54.890599999999999</v>
      </c>
      <c r="E286" s="5">
        <v>12.48</v>
      </c>
      <c r="F286" s="5">
        <v>11.07</v>
      </c>
      <c r="G286" s="5">
        <f t="shared" si="4"/>
        <v>1.4100000000000001</v>
      </c>
      <c r="H286" s="6">
        <v>494.23899999999998</v>
      </c>
      <c r="I286" s="7">
        <v>182.08000183105401</v>
      </c>
      <c r="J286" s="7">
        <v>13.4011278713915</v>
      </c>
      <c r="K286" s="7">
        <v>0</v>
      </c>
    </row>
    <row r="287" spans="1:11" x14ac:dyDescent="0.3">
      <c r="A287" s="4">
        <v>31321</v>
      </c>
      <c r="B287" s="5">
        <v>7.99</v>
      </c>
      <c r="C287" s="11">
        <v>108.5</v>
      </c>
      <c r="D287" s="6">
        <v>54.719900000000003</v>
      </c>
      <c r="E287" s="5">
        <v>12.36</v>
      </c>
      <c r="F287" s="5">
        <v>11.02</v>
      </c>
      <c r="G287" s="5">
        <f t="shared" si="4"/>
        <v>1.3399999999999999</v>
      </c>
      <c r="H287" s="6">
        <v>493.17450000000002</v>
      </c>
      <c r="I287" s="7">
        <v>189.82000732421801</v>
      </c>
      <c r="J287" s="7">
        <v>12.3237719465855</v>
      </c>
      <c r="K287" s="7">
        <v>0</v>
      </c>
    </row>
    <row r="288" spans="1:11" x14ac:dyDescent="0.3">
      <c r="A288" s="4">
        <v>31352</v>
      </c>
      <c r="B288" s="5">
        <v>8.0500000000000007</v>
      </c>
      <c r="C288" s="11">
        <v>109</v>
      </c>
      <c r="D288" s="6">
        <v>54.912399999999998</v>
      </c>
      <c r="E288" s="5">
        <v>11.99</v>
      </c>
      <c r="F288" s="5">
        <v>10.55</v>
      </c>
      <c r="G288" s="5">
        <f t="shared" si="4"/>
        <v>1.4399999999999995</v>
      </c>
      <c r="H288" s="6">
        <v>497.16820000000001</v>
      </c>
      <c r="I288" s="7">
        <v>202.169998168945</v>
      </c>
      <c r="J288" s="7">
        <v>12.464832364373599</v>
      </c>
      <c r="K288" s="7">
        <v>0</v>
      </c>
    </row>
    <row r="289" spans="1:11" x14ac:dyDescent="0.3">
      <c r="A289" s="4">
        <v>31382</v>
      </c>
      <c r="B289" s="5">
        <v>8.27</v>
      </c>
      <c r="C289" s="11">
        <v>109.5</v>
      </c>
      <c r="D289" s="6">
        <v>55.441200000000002</v>
      </c>
      <c r="E289" s="5">
        <v>11.58</v>
      </c>
      <c r="F289" s="5">
        <v>10.16</v>
      </c>
      <c r="G289" s="5">
        <f t="shared" si="4"/>
        <v>1.42</v>
      </c>
      <c r="H289" s="6">
        <v>498.98129999999998</v>
      </c>
      <c r="I289" s="7">
        <v>211.27999877929599</v>
      </c>
      <c r="J289" s="7">
        <v>15.0826166152076</v>
      </c>
      <c r="K289" s="7">
        <v>0</v>
      </c>
    </row>
    <row r="290" spans="1:11" x14ac:dyDescent="0.3">
      <c r="A290" s="4">
        <v>31413</v>
      </c>
      <c r="B290" s="5">
        <v>8.14</v>
      </c>
      <c r="C290" s="11">
        <v>109.9</v>
      </c>
      <c r="D290" s="6">
        <v>55.748100000000001</v>
      </c>
      <c r="E290" s="5">
        <v>11.44</v>
      </c>
      <c r="F290" s="5">
        <v>10.050000000000001</v>
      </c>
      <c r="G290" s="5">
        <f t="shared" si="4"/>
        <v>1.3899999999999988</v>
      </c>
      <c r="H290" s="6">
        <v>500.47539999999998</v>
      </c>
      <c r="I290" s="7">
        <v>211.77999877929599</v>
      </c>
      <c r="J290" s="7">
        <v>19.273148505427098</v>
      </c>
      <c r="K290" s="7">
        <v>0</v>
      </c>
    </row>
    <row r="291" spans="1:11" x14ac:dyDescent="0.3">
      <c r="A291" s="4">
        <v>31444</v>
      </c>
      <c r="B291" s="5">
        <v>7.86</v>
      </c>
      <c r="C291" s="11">
        <v>109.7</v>
      </c>
      <c r="D291" s="6">
        <v>55.3568</v>
      </c>
      <c r="E291" s="5">
        <v>11.11</v>
      </c>
      <c r="F291" s="5">
        <v>9.67</v>
      </c>
      <c r="G291" s="5">
        <f t="shared" si="4"/>
        <v>1.4399999999999995</v>
      </c>
      <c r="H291" s="6">
        <v>501.42840000000001</v>
      </c>
      <c r="I291" s="7">
        <v>226.919998168945</v>
      </c>
      <c r="J291" s="7">
        <v>13.6390892684944</v>
      </c>
      <c r="K291" s="7">
        <v>0</v>
      </c>
    </row>
    <row r="292" spans="1:11" x14ac:dyDescent="0.3">
      <c r="A292" s="4">
        <v>31472</v>
      </c>
      <c r="B292" s="5">
        <v>7.48</v>
      </c>
      <c r="C292" s="11">
        <v>109.1</v>
      </c>
      <c r="D292" s="6">
        <v>54.962499999999999</v>
      </c>
      <c r="E292" s="5">
        <v>10.5</v>
      </c>
      <c r="F292" s="5">
        <v>9</v>
      </c>
      <c r="G292" s="5">
        <f t="shared" si="4"/>
        <v>1.5</v>
      </c>
      <c r="H292" s="6">
        <v>505.21899999999999</v>
      </c>
      <c r="I292" s="7">
        <v>238.89999389648401</v>
      </c>
      <c r="J292" s="7">
        <v>16.139210827289599</v>
      </c>
      <c r="K292" s="7">
        <v>0</v>
      </c>
    </row>
    <row r="293" spans="1:11" x14ac:dyDescent="0.3">
      <c r="A293" s="4">
        <v>31503</v>
      </c>
      <c r="B293" s="5">
        <v>6.99</v>
      </c>
      <c r="C293" s="11">
        <v>108.7</v>
      </c>
      <c r="D293" s="6">
        <v>55.0413</v>
      </c>
      <c r="E293" s="5">
        <v>10.19</v>
      </c>
      <c r="F293" s="5">
        <v>8.7899999999999991</v>
      </c>
      <c r="G293" s="5">
        <f t="shared" si="4"/>
        <v>1.4000000000000004</v>
      </c>
      <c r="H293" s="6">
        <v>507.33600000000001</v>
      </c>
      <c r="I293" s="7">
        <v>235.52000427246</v>
      </c>
      <c r="J293" s="7">
        <v>21.6971226449784</v>
      </c>
      <c r="K293" s="7">
        <v>1</v>
      </c>
    </row>
    <row r="294" spans="1:11" x14ac:dyDescent="0.3">
      <c r="A294" s="4">
        <v>31533</v>
      </c>
      <c r="B294" s="5">
        <v>6.85</v>
      </c>
      <c r="C294" s="11">
        <v>109</v>
      </c>
      <c r="D294" s="6">
        <v>55.122599999999998</v>
      </c>
      <c r="E294" s="5">
        <v>10.29</v>
      </c>
      <c r="F294" s="5">
        <v>9.09</v>
      </c>
      <c r="G294" s="5">
        <f t="shared" si="4"/>
        <v>1.1999999999999993</v>
      </c>
      <c r="H294" s="6">
        <v>507.94940000000003</v>
      </c>
      <c r="I294" s="7">
        <v>247.350006103515</v>
      </c>
      <c r="J294" s="7">
        <v>15.827988306619099</v>
      </c>
      <c r="K294" s="7">
        <v>0</v>
      </c>
    </row>
    <row r="295" spans="1:11" x14ac:dyDescent="0.3">
      <c r="A295" s="4">
        <v>31564</v>
      </c>
      <c r="B295" s="5">
        <v>6.92</v>
      </c>
      <c r="C295" s="11">
        <v>109.4</v>
      </c>
      <c r="D295" s="6">
        <v>54.900500000000001</v>
      </c>
      <c r="E295" s="5">
        <v>10.34</v>
      </c>
      <c r="F295" s="5">
        <v>9.1300000000000008</v>
      </c>
      <c r="G295" s="5">
        <f t="shared" si="4"/>
        <v>1.2099999999999991</v>
      </c>
      <c r="H295" s="6">
        <v>511.28149999999999</v>
      </c>
      <c r="I295" s="7">
        <v>250.83999633789</v>
      </c>
      <c r="J295" s="7">
        <v>17.913553829303599</v>
      </c>
      <c r="K295" s="7">
        <v>0</v>
      </c>
    </row>
    <row r="296" spans="1:11" x14ac:dyDescent="0.3">
      <c r="A296" s="4">
        <v>31594</v>
      </c>
      <c r="B296" s="5">
        <v>6.56</v>
      </c>
      <c r="C296" s="11">
        <v>109.5</v>
      </c>
      <c r="D296" s="6">
        <v>55.2592</v>
      </c>
      <c r="E296" s="5">
        <v>10.16</v>
      </c>
      <c r="F296" s="5">
        <v>8.8800000000000008</v>
      </c>
      <c r="G296" s="5">
        <f t="shared" si="4"/>
        <v>1.2799999999999994</v>
      </c>
      <c r="H296" s="6">
        <v>512.88670000000002</v>
      </c>
      <c r="I296" s="7">
        <v>236.11999511718699</v>
      </c>
      <c r="J296" s="7">
        <v>20.988348876152699</v>
      </c>
      <c r="K296" s="7">
        <v>1</v>
      </c>
    </row>
    <row r="297" spans="1:11" x14ac:dyDescent="0.3">
      <c r="A297" s="4">
        <v>31625</v>
      </c>
      <c r="B297" s="5">
        <v>6.17</v>
      </c>
      <c r="C297" s="11">
        <v>109.6</v>
      </c>
      <c r="D297" s="6">
        <v>55.156700000000001</v>
      </c>
      <c r="E297" s="5">
        <v>10.18</v>
      </c>
      <c r="F297" s="5">
        <v>8.7200000000000006</v>
      </c>
      <c r="G297" s="5">
        <f t="shared" si="4"/>
        <v>1.4599999999999991</v>
      </c>
      <c r="H297" s="6">
        <v>514.93089999999995</v>
      </c>
      <c r="I297" s="7">
        <v>252.92999267578099</v>
      </c>
      <c r="J297" s="7">
        <v>14.332450733748701</v>
      </c>
      <c r="K297" s="7">
        <v>0</v>
      </c>
    </row>
    <row r="298" spans="1:11" x14ac:dyDescent="0.3">
      <c r="A298" s="4">
        <v>31656</v>
      </c>
      <c r="B298" s="5">
        <v>5.89</v>
      </c>
      <c r="C298" s="11">
        <v>110</v>
      </c>
      <c r="D298" s="6">
        <v>55.297499999999999</v>
      </c>
      <c r="E298" s="5">
        <v>10.199999999999999</v>
      </c>
      <c r="F298" s="5">
        <v>8.89</v>
      </c>
      <c r="G298" s="5">
        <f t="shared" si="4"/>
        <v>1.3099999999999987</v>
      </c>
      <c r="H298" s="6">
        <v>517.53869999999995</v>
      </c>
      <c r="I298" s="7">
        <v>231.32000732421801</v>
      </c>
      <c r="J298" s="7">
        <v>28.2550776483994</v>
      </c>
      <c r="K298" s="7">
        <v>1</v>
      </c>
    </row>
    <row r="299" spans="1:11" x14ac:dyDescent="0.3">
      <c r="A299" s="4">
        <v>31686</v>
      </c>
      <c r="B299" s="5">
        <v>5.85</v>
      </c>
      <c r="C299" s="11">
        <v>110.2</v>
      </c>
      <c r="D299" s="6">
        <v>55.533200000000001</v>
      </c>
      <c r="E299" s="5">
        <v>10.24</v>
      </c>
      <c r="F299" s="5">
        <v>8.86</v>
      </c>
      <c r="G299" s="5">
        <f t="shared" si="4"/>
        <v>1.3800000000000008</v>
      </c>
      <c r="H299" s="6">
        <v>517.52800000000002</v>
      </c>
      <c r="I299" s="7">
        <v>243.97999572753901</v>
      </c>
      <c r="J299" s="7">
        <v>12.552464151951099</v>
      </c>
      <c r="K299" s="7">
        <v>0</v>
      </c>
    </row>
    <row r="300" spans="1:11" x14ac:dyDescent="0.3">
      <c r="A300" s="4">
        <v>31717</v>
      </c>
      <c r="B300" s="5">
        <v>6.04</v>
      </c>
      <c r="C300" s="11">
        <v>110.4</v>
      </c>
      <c r="D300" s="6">
        <v>55.755699999999997</v>
      </c>
      <c r="E300" s="5">
        <v>10.07</v>
      </c>
      <c r="F300" s="5">
        <v>8.68</v>
      </c>
      <c r="G300" s="5">
        <f t="shared" si="4"/>
        <v>1.3900000000000006</v>
      </c>
      <c r="H300" s="6">
        <v>523.94410000000005</v>
      </c>
      <c r="I300" s="7">
        <v>249.22000122070301</v>
      </c>
      <c r="J300" s="7">
        <v>19.614597389850299</v>
      </c>
      <c r="K300" s="7">
        <v>0</v>
      </c>
    </row>
    <row r="301" spans="1:11" x14ac:dyDescent="0.3">
      <c r="A301" s="4">
        <v>31747</v>
      </c>
      <c r="B301" s="5">
        <v>6.91</v>
      </c>
      <c r="C301" s="11">
        <v>110.8</v>
      </c>
      <c r="D301" s="6">
        <v>56.284500000000001</v>
      </c>
      <c r="E301" s="5">
        <v>9.9700000000000006</v>
      </c>
      <c r="F301" s="5">
        <v>8.49</v>
      </c>
      <c r="G301" s="5">
        <f t="shared" si="4"/>
        <v>1.4800000000000004</v>
      </c>
      <c r="H301" s="6">
        <v>539.30859999999996</v>
      </c>
      <c r="I301" s="7">
        <v>242.169998168945</v>
      </c>
      <c r="J301" s="7">
        <v>15.302064475497</v>
      </c>
      <c r="K301" s="7">
        <v>0</v>
      </c>
    </row>
    <row r="302" spans="1:11" x14ac:dyDescent="0.3">
      <c r="A302" s="4">
        <v>31778</v>
      </c>
      <c r="B302" s="5">
        <v>6.43</v>
      </c>
      <c r="C302" s="11">
        <v>111.4</v>
      </c>
      <c r="D302" s="6">
        <v>56.088200000000001</v>
      </c>
      <c r="E302" s="5">
        <v>9.7200000000000006</v>
      </c>
      <c r="F302" s="5">
        <v>8.36</v>
      </c>
      <c r="G302" s="5">
        <f t="shared" si="4"/>
        <v>1.3600000000000012</v>
      </c>
      <c r="H302" s="6">
        <v>548.88170000000002</v>
      </c>
      <c r="I302" s="7">
        <v>274.079986572265</v>
      </c>
      <c r="J302" s="7">
        <v>18.578114097340102</v>
      </c>
      <c r="K302" s="7">
        <v>0</v>
      </c>
    </row>
    <row r="303" spans="1:11" x14ac:dyDescent="0.3">
      <c r="A303" s="4">
        <v>31809</v>
      </c>
      <c r="B303" s="5">
        <v>6.1</v>
      </c>
      <c r="C303" s="11">
        <v>111.8</v>
      </c>
      <c r="D303" s="6">
        <v>56.827500000000001</v>
      </c>
      <c r="E303" s="5">
        <v>9.65</v>
      </c>
      <c r="F303" s="5">
        <v>8.3800000000000008</v>
      </c>
      <c r="G303" s="5">
        <f t="shared" si="4"/>
        <v>1.2699999999999996</v>
      </c>
      <c r="H303" s="6">
        <v>547.37829999999997</v>
      </c>
      <c r="I303" s="7">
        <v>284.20001220703102</v>
      </c>
      <c r="J303" s="7">
        <v>17.2607041132052</v>
      </c>
      <c r="K303" s="7">
        <v>0</v>
      </c>
    </row>
    <row r="304" spans="1:11" x14ac:dyDescent="0.3">
      <c r="A304" s="4">
        <v>31837</v>
      </c>
      <c r="B304" s="5">
        <v>6.13</v>
      </c>
      <c r="C304" s="11">
        <v>112.2</v>
      </c>
      <c r="D304" s="6">
        <v>56.909799999999997</v>
      </c>
      <c r="E304" s="5">
        <v>9.61</v>
      </c>
      <c r="F304" s="5">
        <v>8.36</v>
      </c>
      <c r="G304" s="5">
        <f t="shared" si="4"/>
        <v>1.25</v>
      </c>
      <c r="H304" s="6">
        <v>548.19380000000001</v>
      </c>
      <c r="I304" s="7">
        <v>291.70001220703102</v>
      </c>
      <c r="J304" s="7">
        <v>19.3250095213027</v>
      </c>
      <c r="K304" s="7">
        <v>0</v>
      </c>
    </row>
    <row r="305" spans="1:11" x14ac:dyDescent="0.3">
      <c r="A305" s="4">
        <v>31868</v>
      </c>
      <c r="B305" s="5">
        <v>6.37</v>
      </c>
      <c r="C305" s="11">
        <v>112.7</v>
      </c>
      <c r="D305" s="6">
        <v>57.270099999999999</v>
      </c>
      <c r="E305" s="5">
        <v>10.039999999999999</v>
      </c>
      <c r="F305" s="5">
        <v>8.85</v>
      </c>
      <c r="G305" s="5">
        <f t="shared" si="4"/>
        <v>1.1899999999999995</v>
      </c>
      <c r="H305" s="6">
        <v>549.37570000000005</v>
      </c>
      <c r="I305" s="7">
        <v>288.35998535156199</v>
      </c>
      <c r="J305" s="7">
        <v>29.0907367059677</v>
      </c>
      <c r="K305" s="7">
        <v>1</v>
      </c>
    </row>
    <row r="306" spans="1:11" x14ac:dyDescent="0.3">
      <c r="A306" s="4">
        <v>31898</v>
      </c>
      <c r="B306" s="5">
        <v>6.85</v>
      </c>
      <c r="C306" s="11">
        <v>113</v>
      </c>
      <c r="D306" s="6">
        <v>57.632199999999997</v>
      </c>
      <c r="E306" s="5">
        <v>10.51</v>
      </c>
      <c r="F306" s="5">
        <v>9.33</v>
      </c>
      <c r="G306" s="5">
        <f t="shared" si="4"/>
        <v>1.1799999999999997</v>
      </c>
      <c r="H306" s="6">
        <v>551.58460000000002</v>
      </c>
      <c r="I306" s="7">
        <v>290.100006103515</v>
      </c>
      <c r="J306" s="7">
        <v>22.9868730739584</v>
      </c>
      <c r="K306" s="7">
        <v>1</v>
      </c>
    </row>
    <row r="307" spans="1:11" x14ac:dyDescent="0.3">
      <c r="A307" s="4">
        <v>31929</v>
      </c>
      <c r="B307" s="5">
        <v>6.73</v>
      </c>
      <c r="C307" s="11">
        <v>113.5</v>
      </c>
      <c r="D307" s="6">
        <v>57.930700000000002</v>
      </c>
      <c r="E307" s="5">
        <v>10.52</v>
      </c>
      <c r="F307" s="5">
        <v>9.32</v>
      </c>
      <c r="G307" s="5">
        <f t="shared" si="4"/>
        <v>1.1999999999999993</v>
      </c>
      <c r="H307" s="6">
        <v>554.55179999999996</v>
      </c>
      <c r="I307" s="7">
        <v>304</v>
      </c>
      <c r="J307" s="7">
        <v>13.6055662709812</v>
      </c>
      <c r="K307" s="7">
        <v>0</v>
      </c>
    </row>
    <row r="308" spans="1:11" x14ac:dyDescent="0.3">
      <c r="A308" s="4">
        <v>31959</v>
      </c>
      <c r="B308" s="5">
        <v>6.58</v>
      </c>
      <c r="C308" s="11">
        <v>113.8</v>
      </c>
      <c r="D308" s="6">
        <v>58.325800000000001</v>
      </c>
      <c r="E308" s="5">
        <v>10.61</v>
      </c>
      <c r="F308" s="5">
        <v>9.42</v>
      </c>
      <c r="G308" s="5">
        <f t="shared" si="4"/>
        <v>1.1899999999999995</v>
      </c>
      <c r="H308" s="6">
        <v>553.29039999999998</v>
      </c>
      <c r="I308" s="7">
        <v>318.66000366210898</v>
      </c>
      <c r="J308" s="7">
        <v>11.703795148013199</v>
      </c>
      <c r="K308" s="7">
        <v>0</v>
      </c>
    </row>
    <row r="309" spans="1:11" x14ac:dyDescent="0.3">
      <c r="A309" s="4">
        <v>31990</v>
      </c>
      <c r="B309" s="5">
        <v>6.73</v>
      </c>
      <c r="C309" s="11">
        <v>114.3</v>
      </c>
      <c r="D309" s="6">
        <v>58.763599999999997</v>
      </c>
      <c r="E309" s="5">
        <v>10.8</v>
      </c>
      <c r="F309" s="5">
        <v>9.67</v>
      </c>
      <c r="G309" s="5">
        <f t="shared" si="4"/>
        <v>1.1300000000000008</v>
      </c>
      <c r="H309" s="6">
        <v>553.95500000000004</v>
      </c>
      <c r="I309" s="7">
        <v>329.79998779296801</v>
      </c>
      <c r="J309" s="7">
        <v>18.572931624226801</v>
      </c>
      <c r="K309" s="7">
        <v>0</v>
      </c>
    </row>
    <row r="310" spans="1:11" x14ac:dyDescent="0.3">
      <c r="A310" s="4">
        <v>32021</v>
      </c>
      <c r="B310" s="5">
        <v>7.22</v>
      </c>
      <c r="C310" s="11">
        <v>114.7</v>
      </c>
      <c r="D310" s="6">
        <v>58.995100000000001</v>
      </c>
      <c r="E310" s="5">
        <v>11.31</v>
      </c>
      <c r="F310" s="5">
        <v>10.18</v>
      </c>
      <c r="G310" s="5">
        <f t="shared" si="4"/>
        <v>1.1300000000000008</v>
      </c>
      <c r="H310" s="6">
        <v>561.15769999999998</v>
      </c>
      <c r="I310" s="7">
        <v>321.829986572265</v>
      </c>
      <c r="J310" s="7">
        <v>22.424663237154402</v>
      </c>
      <c r="K310" s="7">
        <v>1</v>
      </c>
    </row>
    <row r="311" spans="1:11" x14ac:dyDescent="0.3">
      <c r="A311" s="4">
        <v>32051</v>
      </c>
      <c r="B311" s="5">
        <v>7.29</v>
      </c>
      <c r="C311" s="11">
        <v>115</v>
      </c>
      <c r="D311" s="6">
        <v>59.780999999999999</v>
      </c>
      <c r="E311" s="5">
        <v>11.62</v>
      </c>
      <c r="F311" s="5">
        <v>10.52</v>
      </c>
      <c r="G311" s="5">
        <f t="shared" si="4"/>
        <v>1.0999999999999996</v>
      </c>
      <c r="H311" s="6">
        <v>563.07389999999998</v>
      </c>
      <c r="I311" s="7">
        <v>251.78999328613199</v>
      </c>
      <c r="J311" s="7">
        <v>122.85174246131599</v>
      </c>
      <c r="K311" s="7">
        <v>1</v>
      </c>
    </row>
    <row r="312" spans="1:11" x14ac:dyDescent="0.3">
      <c r="A312" s="4">
        <v>32082</v>
      </c>
      <c r="B312" s="5">
        <v>6.69</v>
      </c>
      <c r="C312" s="11">
        <v>115.4</v>
      </c>
      <c r="D312" s="6">
        <v>60.072600000000001</v>
      </c>
      <c r="E312" s="5">
        <v>11.23</v>
      </c>
      <c r="F312" s="5">
        <v>10.01</v>
      </c>
      <c r="G312" s="5">
        <f t="shared" si="4"/>
        <v>1.2200000000000006</v>
      </c>
      <c r="H312" s="6">
        <v>562.60519999999997</v>
      </c>
      <c r="I312" s="7">
        <v>230.30000305175699</v>
      </c>
      <c r="J312" s="7">
        <v>37.090032794288803</v>
      </c>
      <c r="K312" s="7">
        <v>1</v>
      </c>
    </row>
    <row r="313" spans="1:11" x14ac:dyDescent="0.3">
      <c r="A313" s="4">
        <v>32112</v>
      </c>
      <c r="B313" s="5">
        <v>6.77</v>
      </c>
      <c r="C313" s="11">
        <v>115.6</v>
      </c>
      <c r="D313" s="6">
        <v>60.409500000000001</v>
      </c>
      <c r="E313" s="5">
        <v>11.29</v>
      </c>
      <c r="F313" s="5">
        <v>10.11</v>
      </c>
      <c r="G313" s="5">
        <f t="shared" si="4"/>
        <v>1.1799999999999997</v>
      </c>
      <c r="H313" s="6">
        <v>565.2319</v>
      </c>
      <c r="I313" s="7">
        <v>247.08000183105401</v>
      </c>
      <c r="J313" s="7">
        <v>35.646696091355302</v>
      </c>
      <c r="K313" s="7">
        <v>1</v>
      </c>
    </row>
    <row r="314" spans="1:11" x14ac:dyDescent="0.3">
      <c r="A314" s="4">
        <v>32143</v>
      </c>
      <c r="B314" s="5">
        <v>6.83</v>
      </c>
      <c r="C314" s="11">
        <v>116</v>
      </c>
      <c r="D314" s="6">
        <v>60.397599999999997</v>
      </c>
      <c r="E314" s="5">
        <v>11.07</v>
      </c>
      <c r="F314" s="5">
        <v>9.8800000000000008</v>
      </c>
      <c r="G314" s="5">
        <f t="shared" si="4"/>
        <v>1.1899999999999995</v>
      </c>
      <c r="H314" s="6">
        <v>567.17999999999995</v>
      </c>
      <c r="I314" s="7">
        <v>257.07000732421801</v>
      </c>
      <c r="J314" s="7">
        <v>44.519977921366703</v>
      </c>
      <c r="K314" s="7">
        <v>1</v>
      </c>
    </row>
    <row r="315" spans="1:11" x14ac:dyDescent="0.3">
      <c r="A315" s="4">
        <v>32174</v>
      </c>
      <c r="B315" s="5">
        <v>6.58</v>
      </c>
      <c r="C315" s="11">
        <v>116.2</v>
      </c>
      <c r="D315" s="6">
        <v>60.700299999999999</v>
      </c>
      <c r="E315" s="5">
        <v>10.62</v>
      </c>
      <c r="F315" s="5">
        <v>9.4</v>
      </c>
      <c r="G315" s="5">
        <f t="shared" si="4"/>
        <v>1.2199999999999989</v>
      </c>
      <c r="H315" s="6">
        <v>568.47619999999995</v>
      </c>
      <c r="I315" s="7">
        <v>267.82000732421801</v>
      </c>
      <c r="J315" s="7">
        <v>19.883397815808099</v>
      </c>
      <c r="K315" s="7">
        <v>0</v>
      </c>
    </row>
    <row r="316" spans="1:11" x14ac:dyDescent="0.3">
      <c r="A316" s="4">
        <v>32203</v>
      </c>
      <c r="B316" s="5">
        <v>6.58</v>
      </c>
      <c r="C316" s="11">
        <v>116.5</v>
      </c>
      <c r="D316" s="6">
        <v>60.850099999999998</v>
      </c>
      <c r="E316" s="5">
        <v>10.57</v>
      </c>
      <c r="F316" s="5">
        <v>9.39</v>
      </c>
      <c r="G316" s="5">
        <f t="shared" si="4"/>
        <v>1.1799999999999997</v>
      </c>
      <c r="H316" s="6">
        <v>571.25440000000003</v>
      </c>
      <c r="I316" s="7">
        <v>258.89001464843699</v>
      </c>
      <c r="J316" s="7">
        <v>17.2813473603373</v>
      </c>
      <c r="K316" s="7">
        <v>0</v>
      </c>
    </row>
    <row r="317" spans="1:11" x14ac:dyDescent="0.3">
      <c r="A317" s="4">
        <v>32234</v>
      </c>
      <c r="B317" s="5">
        <v>6.87</v>
      </c>
      <c r="C317" s="11">
        <v>117.2</v>
      </c>
      <c r="D317" s="6">
        <v>61.203099999999999</v>
      </c>
      <c r="E317" s="5">
        <v>10.9</v>
      </c>
      <c r="F317" s="5">
        <v>9.67</v>
      </c>
      <c r="G317" s="5">
        <f t="shared" si="4"/>
        <v>1.2300000000000004</v>
      </c>
      <c r="H317" s="6">
        <v>577.39800000000002</v>
      </c>
      <c r="I317" s="7">
        <v>261.329986572265</v>
      </c>
      <c r="J317" s="7">
        <v>27.331833520432699</v>
      </c>
      <c r="K317" s="7">
        <v>1</v>
      </c>
    </row>
    <row r="318" spans="1:11" x14ac:dyDescent="0.3">
      <c r="A318" s="4">
        <v>32264</v>
      </c>
      <c r="B318" s="5">
        <v>7.09</v>
      </c>
      <c r="C318" s="11">
        <v>117.5</v>
      </c>
      <c r="D318" s="6">
        <v>61.079700000000003</v>
      </c>
      <c r="E318" s="5">
        <v>11.04</v>
      </c>
      <c r="F318" s="5">
        <v>9.9</v>
      </c>
      <c r="G318" s="5">
        <f t="shared" si="4"/>
        <v>1.1399999999999988</v>
      </c>
      <c r="H318" s="6">
        <v>583.86800000000005</v>
      </c>
      <c r="I318" s="7">
        <v>262.16000366210898</v>
      </c>
      <c r="J318" s="7">
        <v>22.557428579303298</v>
      </c>
      <c r="K318" s="7">
        <v>1</v>
      </c>
    </row>
    <row r="319" spans="1:11" x14ac:dyDescent="0.3">
      <c r="A319" s="4">
        <v>32295</v>
      </c>
      <c r="B319" s="5">
        <v>7.51</v>
      </c>
      <c r="C319" s="11">
        <v>118</v>
      </c>
      <c r="D319" s="6">
        <v>61.256900000000002</v>
      </c>
      <c r="E319" s="5">
        <v>11</v>
      </c>
      <c r="F319" s="5">
        <v>9.86</v>
      </c>
      <c r="G319" s="5">
        <f t="shared" si="4"/>
        <v>1.1400000000000006</v>
      </c>
      <c r="H319" s="6">
        <v>588.98929999999996</v>
      </c>
      <c r="I319" s="7">
        <v>273.5</v>
      </c>
      <c r="J319" s="7">
        <v>20.847087750755701</v>
      </c>
      <c r="K319" s="7">
        <v>1</v>
      </c>
    </row>
    <row r="320" spans="1:11" x14ac:dyDescent="0.3">
      <c r="A320" s="4">
        <v>32325</v>
      </c>
      <c r="B320" s="5">
        <v>7.75</v>
      </c>
      <c r="C320" s="11">
        <v>118.5</v>
      </c>
      <c r="D320" s="6">
        <v>61.265900000000002</v>
      </c>
      <c r="E320" s="5">
        <v>11.11</v>
      </c>
      <c r="F320" s="5">
        <v>9.9600000000000009</v>
      </c>
      <c r="G320" s="5">
        <f t="shared" si="4"/>
        <v>1.1499999999999986</v>
      </c>
      <c r="H320" s="6">
        <v>593.79100000000005</v>
      </c>
      <c r="I320" s="7">
        <v>272.01998901367102</v>
      </c>
      <c r="J320" s="7">
        <v>20.0804573662185</v>
      </c>
      <c r="K320" s="7">
        <v>0</v>
      </c>
    </row>
    <row r="321" spans="1:11" x14ac:dyDescent="0.3">
      <c r="A321" s="4">
        <v>32356</v>
      </c>
      <c r="B321" s="5">
        <v>8.01</v>
      </c>
      <c r="C321" s="11">
        <v>119</v>
      </c>
      <c r="D321" s="6">
        <v>61.573099999999997</v>
      </c>
      <c r="E321" s="5">
        <v>11.21</v>
      </c>
      <c r="F321" s="5">
        <v>10.11</v>
      </c>
      <c r="G321" s="5">
        <f t="shared" si="4"/>
        <v>1.1000000000000014</v>
      </c>
      <c r="H321" s="6">
        <v>594.38869999999997</v>
      </c>
      <c r="I321" s="7">
        <v>261.51998901367102</v>
      </c>
      <c r="J321" s="7">
        <v>15.6142541972659</v>
      </c>
      <c r="K321" s="7">
        <v>0</v>
      </c>
    </row>
    <row r="322" spans="1:11" x14ac:dyDescent="0.3">
      <c r="A322" s="4">
        <v>32387</v>
      </c>
      <c r="B322" s="5">
        <v>8.19</v>
      </c>
      <c r="C322" s="11">
        <v>119.5</v>
      </c>
      <c r="D322" s="6">
        <v>61.380699999999997</v>
      </c>
      <c r="E322" s="5">
        <v>10.9</v>
      </c>
      <c r="F322" s="5">
        <v>9.82</v>
      </c>
      <c r="G322" s="5">
        <f t="shared" si="4"/>
        <v>1.08</v>
      </c>
      <c r="H322" s="6">
        <v>595.31060000000002</v>
      </c>
      <c r="I322" s="7">
        <v>271.91000366210898</v>
      </c>
      <c r="J322" s="7">
        <v>14.9294770614396</v>
      </c>
      <c r="K322" s="7">
        <v>0</v>
      </c>
    </row>
    <row r="323" spans="1:11" x14ac:dyDescent="0.3">
      <c r="A323" s="4">
        <v>32417</v>
      </c>
      <c r="B323" s="5">
        <v>8.3000000000000007</v>
      </c>
      <c r="C323" s="11">
        <v>119.9</v>
      </c>
      <c r="D323" s="6">
        <v>61.645299999999999</v>
      </c>
      <c r="E323" s="5">
        <v>10.41</v>
      </c>
      <c r="F323" s="5">
        <v>9.51</v>
      </c>
      <c r="G323" s="5">
        <f t="shared" ref="G323:G386" si="5">E323-F323</f>
        <v>0.90000000000000036</v>
      </c>
      <c r="H323" s="6">
        <v>599.03890000000001</v>
      </c>
      <c r="I323" s="7">
        <v>278.97000122070301</v>
      </c>
      <c r="J323" s="7">
        <v>17.883713006933</v>
      </c>
      <c r="K323" s="7">
        <v>0</v>
      </c>
    </row>
    <row r="324" spans="1:11" x14ac:dyDescent="0.3">
      <c r="A324" s="4">
        <v>32448</v>
      </c>
      <c r="B324" s="5">
        <v>8.35</v>
      </c>
      <c r="C324" s="11">
        <v>120.3</v>
      </c>
      <c r="D324" s="6">
        <v>61.794400000000003</v>
      </c>
      <c r="E324" s="5">
        <v>10.48</v>
      </c>
      <c r="F324" s="5">
        <v>9.4499999999999993</v>
      </c>
      <c r="G324" s="5">
        <f t="shared" si="5"/>
        <v>1.0300000000000011</v>
      </c>
      <c r="H324" s="6">
        <v>601.12660000000005</v>
      </c>
      <c r="I324" s="7">
        <v>273.70001220703102</v>
      </c>
      <c r="J324" s="7">
        <v>16.461722219058501</v>
      </c>
      <c r="K324" s="7">
        <v>0</v>
      </c>
    </row>
    <row r="325" spans="1:11" x14ac:dyDescent="0.3">
      <c r="A325" s="4">
        <v>32478</v>
      </c>
      <c r="B325" s="5">
        <v>8.76</v>
      </c>
      <c r="C325" s="11">
        <v>120.7</v>
      </c>
      <c r="D325" s="6">
        <v>62.074300000000001</v>
      </c>
      <c r="E325" s="5">
        <v>10.65</v>
      </c>
      <c r="F325" s="5">
        <v>9.57</v>
      </c>
      <c r="G325" s="5">
        <f t="shared" si="5"/>
        <v>1.08</v>
      </c>
      <c r="H325" s="6">
        <v>604.84879999999998</v>
      </c>
      <c r="I325" s="7">
        <v>277.72000122070301</v>
      </c>
      <c r="J325" s="7">
        <v>11.118587104964201</v>
      </c>
      <c r="K325" s="7">
        <v>0</v>
      </c>
    </row>
    <row r="326" spans="1:11" x14ac:dyDescent="0.3">
      <c r="A326" s="4">
        <v>32509</v>
      </c>
      <c r="B326" s="5">
        <v>9.1199999999999992</v>
      </c>
      <c r="C326" s="11">
        <v>121.2</v>
      </c>
      <c r="D326" s="6">
        <v>62.257399999999997</v>
      </c>
      <c r="E326" s="5">
        <v>10.65</v>
      </c>
      <c r="F326" s="5">
        <v>9.6199999999999992</v>
      </c>
      <c r="G326" s="5">
        <f t="shared" si="5"/>
        <v>1.0300000000000011</v>
      </c>
      <c r="H326" s="6">
        <v>606.35919999999999</v>
      </c>
      <c r="I326" s="7">
        <v>297.47000122070301</v>
      </c>
      <c r="J326" s="7">
        <v>12.1440949155146</v>
      </c>
      <c r="K326" s="7">
        <v>0</v>
      </c>
    </row>
    <row r="327" spans="1:11" x14ac:dyDescent="0.3">
      <c r="A327" s="4">
        <v>32540</v>
      </c>
      <c r="B327" s="5">
        <v>9.36</v>
      </c>
      <c r="C327" s="11">
        <v>121.6</v>
      </c>
      <c r="D327" s="6">
        <v>61.981900000000003</v>
      </c>
      <c r="E327" s="5">
        <v>10.61</v>
      </c>
      <c r="F327" s="5">
        <v>9.64</v>
      </c>
      <c r="G327" s="5">
        <f t="shared" si="5"/>
        <v>0.96999999999999886</v>
      </c>
      <c r="H327" s="6">
        <v>617.125</v>
      </c>
      <c r="I327" s="7">
        <v>288.85998535156199</v>
      </c>
      <c r="J327" s="7">
        <v>15.985015160228301</v>
      </c>
      <c r="K327" s="7">
        <v>0</v>
      </c>
    </row>
    <row r="328" spans="1:11" x14ac:dyDescent="0.3">
      <c r="A328" s="4">
        <v>32568</v>
      </c>
      <c r="B328" s="5">
        <v>9.85</v>
      </c>
      <c r="C328" s="11">
        <v>122.2</v>
      </c>
      <c r="D328" s="6">
        <v>62.136899999999997</v>
      </c>
      <c r="E328" s="5">
        <v>10.67</v>
      </c>
      <c r="F328" s="5">
        <v>9.8000000000000007</v>
      </c>
      <c r="G328" s="5">
        <f t="shared" si="5"/>
        <v>0.86999999999999922</v>
      </c>
      <c r="H328" s="6">
        <v>616.38390000000004</v>
      </c>
      <c r="I328" s="7">
        <v>294.86999511718699</v>
      </c>
      <c r="J328" s="7">
        <v>15.6418833552269</v>
      </c>
      <c r="K328" s="7">
        <v>0</v>
      </c>
    </row>
    <row r="329" spans="1:11" x14ac:dyDescent="0.3">
      <c r="A329" s="4">
        <v>32599</v>
      </c>
      <c r="B329" s="5">
        <v>9.84</v>
      </c>
      <c r="C329" s="11">
        <v>123.1</v>
      </c>
      <c r="D329" s="6">
        <v>62.127600000000001</v>
      </c>
      <c r="E329" s="5">
        <v>10.61</v>
      </c>
      <c r="F329" s="5">
        <v>9.7899999999999991</v>
      </c>
      <c r="G329" s="5">
        <f t="shared" si="5"/>
        <v>0.82000000000000028</v>
      </c>
      <c r="H329" s="6">
        <v>619.16660000000002</v>
      </c>
      <c r="I329" s="7">
        <v>309.64001464843699</v>
      </c>
      <c r="J329" s="7">
        <v>13.245618297335</v>
      </c>
      <c r="K329" s="7">
        <v>0</v>
      </c>
    </row>
    <row r="330" spans="1:11" x14ac:dyDescent="0.3">
      <c r="A330" s="4">
        <v>32629</v>
      </c>
      <c r="B330" s="5">
        <v>9.81</v>
      </c>
      <c r="C330" s="11">
        <v>123.7</v>
      </c>
      <c r="D330" s="6">
        <v>61.7744</v>
      </c>
      <c r="E330" s="5">
        <v>10.46</v>
      </c>
      <c r="F330" s="5">
        <v>9.57</v>
      </c>
      <c r="G330" s="5">
        <f t="shared" si="5"/>
        <v>0.89000000000000057</v>
      </c>
      <c r="H330" s="6">
        <v>624.35410000000002</v>
      </c>
      <c r="I330" s="7">
        <v>320.51998901367102</v>
      </c>
      <c r="J330" s="7">
        <v>13.905450469448001</v>
      </c>
      <c r="K330" s="7">
        <v>0</v>
      </c>
    </row>
    <row r="331" spans="1:11" x14ac:dyDescent="0.3">
      <c r="A331" s="4">
        <v>32660</v>
      </c>
      <c r="B331" s="5">
        <v>9.5299999999999994</v>
      </c>
      <c r="C331" s="11">
        <v>124.1</v>
      </c>
      <c r="D331" s="6">
        <v>61.7697</v>
      </c>
      <c r="E331" s="5">
        <v>10.029999999999999</v>
      </c>
      <c r="F331" s="5">
        <v>9.1</v>
      </c>
      <c r="G331" s="5">
        <f t="shared" si="5"/>
        <v>0.92999999999999972</v>
      </c>
      <c r="H331" s="6">
        <v>624.21259999999995</v>
      </c>
      <c r="I331" s="7">
        <v>317.98001098632801</v>
      </c>
      <c r="J331" s="7">
        <v>16.561874513683801</v>
      </c>
      <c r="K331" s="7">
        <v>0</v>
      </c>
    </row>
    <row r="332" spans="1:11" x14ac:dyDescent="0.3">
      <c r="A332" s="4">
        <v>32690</v>
      </c>
      <c r="B332" s="5">
        <v>9.24</v>
      </c>
      <c r="C332" s="11">
        <v>124.5</v>
      </c>
      <c r="D332" s="6">
        <v>61.1738</v>
      </c>
      <c r="E332" s="5">
        <v>9.8699999999999992</v>
      </c>
      <c r="F332" s="5">
        <v>8.93</v>
      </c>
      <c r="G332" s="5">
        <f t="shared" si="5"/>
        <v>0.9399999999999995</v>
      </c>
      <c r="H332" s="6">
        <v>630.86490000000003</v>
      </c>
      <c r="I332" s="7">
        <v>346.079986572265</v>
      </c>
      <c r="J332" s="7">
        <v>11.753837177565901</v>
      </c>
      <c r="K332" s="7">
        <v>0</v>
      </c>
    </row>
    <row r="333" spans="1:11" x14ac:dyDescent="0.3">
      <c r="A333" s="4">
        <v>32721</v>
      </c>
      <c r="B333" s="5">
        <v>8.99</v>
      </c>
      <c r="C333" s="11">
        <v>124.5</v>
      </c>
      <c r="D333" s="6">
        <v>61.773200000000003</v>
      </c>
      <c r="E333" s="5">
        <v>9.8800000000000008</v>
      </c>
      <c r="F333" s="5">
        <v>8.9600000000000009</v>
      </c>
      <c r="G333" s="5">
        <f t="shared" si="5"/>
        <v>0.91999999999999993</v>
      </c>
      <c r="H333" s="6">
        <v>635.11900000000003</v>
      </c>
      <c r="I333" s="7">
        <v>351.45001220703102</v>
      </c>
      <c r="J333" s="7">
        <v>15.8012995097016</v>
      </c>
      <c r="K333" s="7">
        <v>0</v>
      </c>
    </row>
    <row r="334" spans="1:11" x14ac:dyDescent="0.3">
      <c r="A334" s="4">
        <v>32752</v>
      </c>
      <c r="B334" s="5">
        <v>9.02</v>
      </c>
      <c r="C334" s="11">
        <v>124.8</v>
      </c>
      <c r="D334" s="6">
        <v>61.579599999999999</v>
      </c>
      <c r="E334" s="5">
        <v>9.91</v>
      </c>
      <c r="F334" s="5">
        <v>9.01</v>
      </c>
      <c r="G334" s="5">
        <f t="shared" si="5"/>
        <v>0.90000000000000036</v>
      </c>
      <c r="H334" s="6">
        <v>637.02750000000003</v>
      </c>
      <c r="I334" s="7">
        <v>349.14999389648398</v>
      </c>
      <c r="J334" s="7">
        <v>10.790665641521899</v>
      </c>
      <c r="K334" s="7">
        <v>0</v>
      </c>
    </row>
    <row r="335" spans="1:11" x14ac:dyDescent="0.3">
      <c r="A335" s="4">
        <v>32782</v>
      </c>
      <c r="B335" s="5">
        <v>8.84</v>
      </c>
      <c r="C335" s="11">
        <v>125.4</v>
      </c>
      <c r="D335" s="6">
        <v>61.496600000000001</v>
      </c>
      <c r="E335" s="5">
        <v>9.81</v>
      </c>
      <c r="F335" s="5">
        <v>8.92</v>
      </c>
      <c r="G335" s="5">
        <f t="shared" si="5"/>
        <v>0.89000000000000057</v>
      </c>
      <c r="H335" s="6">
        <v>639.35360000000003</v>
      </c>
      <c r="I335" s="7">
        <v>340.35998535156199</v>
      </c>
      <c r="J335" s="7">
        <v>33.384380386196497</v>
      </c>
      <c r="K335" s="7">
        <v>1</v>
      </c>
    </row>
    <row r="336" spans="1:11" x14ac:dyDescent="0.3">
      <c r="A336" s="4">
        <v>32813</v>
      </c>
      <c r="B336" s="5">
        <v>8.5500000000000007</v>
      </c>
      <c r="C336" s="11">
        <v>125.9</v>
      </c>
      <c r="D336" s="6">
        <v>61.7044</v>
      </c>
      <c r="E336" s="5">
        <v>9.81</v>
      </c>
      <c r="F336" s="5">
        <v>8.89</v>
      </c>
      <c r="G336" s="5">
        <f t="shared" si="5"/>
        <v>0.91999999999999993</v>
      </c>
      <c r="H336" s="6">
        <v>639.71429999999998</v>
      </c>
      <c r="I336" s="7">
        <v>345.989990234375</v>
      </c>
      <c r="J336" s="7">
        <v>12.959417370817199</v>
      </c>
      <c r="K336" s="7">
        <v>0</v>
      </c>
    </row>
    <row r="337" spans="1:11" x14ac:dyDescent="0.3">
      <c r="A337" s="4">
        <v>32843</v>
      </c>
      <c r="B337" s="5">
        <v>8.4499999999999993</v>
      </c>
      <c r="C337" s="11">
        <v>126.3</v>
      </c>
      <c r="D337" s="6">
        <v>62.0428</v>
      </c>
      <c r="E337" s="5">
        <v>9.82</v>
      </c>
      <c r="F337" s="5">
        <v>8.86</v>
      </c>
      <c r="G337" s="5">
        <f t="shared" si="5"/>
        <v>0.96000000000000085</v>
      </c>
      <c r="H337" s="6">
        <v>637.94489999999996</v>
      </c>
      <c r="I337" s="7">
        <v>353.39999389648398</v>
      </c>
      <c r="J337" s="7">
        <v>13.8951704369859</v>
      </c>
      <c r="K337" s="7">
        <v>0</v>
      </c>
    </row>
    <row r="338" spans="1:11" x14ac:dyDescent="0.3">
      <c r="A338" s="4">
        <v>32874</v>
      </c>
      <c r="B338" s="5">
        <v>8.23</v>
      </c>
      <c r="C338" s="11">
        <v>127.5</v>
      </c>
      <c r="D338" s="6">
        <v>61.728999999999999</v>
      </c>
      <c r="E338" s="5">
        <v>9.94</v>
      </c>
      <c r="F338" s="5">
        <v>8.99</v>
      </c>
      <c r="G338" s="5">
        <f t="shared" si="5"/>
        <v>0.94999999999999929</v>
      </c>
      <c r="H338" s="6">
        <v>635.78750000000002</v>
      </c>
      <c r="I338" s="7">
        <v>329.079986572265</v>
      </c>
      <c r="J338" s="7">
        <v>22.712369119036399</v>
      </c>
      <c r="K338" s="7">
        <v>1</v>
      </c>
    </row>
    <row r="339" spans="1:11" x14ac:dyDescent="0.3">
      <c r="A339" s="4">
        <v>32905</v>
      </c>
      <c r="B339" s="5">
        <v>8.24</v>
      </c>
      <c r="C339" s="11">
        <v>128</v>
      </c>
      <c r="D339" s="6">
        <v>62.2896</v>
      </c>
      <c r="E339" s="5">
        <v>10.14</v>
      </c>
      <c r="F339" s="5">
        <v>9.2200000000000006</v>
      </c>
      <c r="G339" s="5">
        <f t="shared" si="5"/>
        <v>0.91999999999999993</v>
      </c>
      <c r="H339" s="6">
        <v>636.5317</v>
      </c>
      <c r="I339" s="7">
        <v>331.89001464843699</v>
      </c>
      <c r="J339" s="7">
        <v>14.993321864960899</v>
      </c>
      <c r="K339" s="7">
        <v>0</v>
      </c>
    </row>
    <row r="340" spans="1:11" x14ac:dyDescent="0.3">
      <c r="A340" s="4">
        <v>32933</v>
      </c>
      <c r="B340" s="5">
        <v>8.2799999999999994</v>
      </c>
      <c r="C340" s="11">
        <v>128.6</v>
      </c>
      <c r="D340" s="6">
        <v>62.599899999999998</v>
      </c>
      <c r="E340" s="5">
        <v>10.210000000000001</v>
      </c>
      <c r="F340" s="5">
        <v>9.3699999999999992</v>
      </c>
      <c r="G340" s="5">
        <f t="shared" si="5"/>
        <v>0.84000000000000163</v>
      </c>
      <c r="H340" s="6">
        <v>638.24369999999999</v>
      </c>
      <c r="I340" s="7">
        <v>339.94000244140602</v>
      </c>
      <c r="J340" s="7">
        <v>13.8708565461618</v>
      </c>
      <c r="K340" s="7">
        <v>0</v>
      </c>
    </row>
    <row r="341" spans="1:11" x14ac:dyDescent="0.3">
      <c r="A341" s="4">
        <v>32964</v>
      </c>
      <c r="B341" s="5">
        <v>8.26</v>
      </c>
      <c r="C341" s="11">
        <v>128.9</v>
      </c>
      <c r="D341" s="6">
        <v>62.435899999999997</v>
      </c>
      <c r="E341" s="5">
        <v>10.3</v>
      </c>
      <c r="F341" s="5">
        <v>9.4600000000000009</v>
      </c>
      <c r="G341" s="5">
        <f t="shared" si="5"/>
        <v>0.83999999999999986</v>
      </c>
      <c r="H341" s="6">
        <v>640.98019999999997</v>
      </c>
      <c r="I341" s="7">
        <v>330.79998779296801</v>
      </c>
      <c r="J341" s="7">
        <v>14.0631080043448</v>
      </c>
      <c r="K341" s="7">
        <v>0</v>
      </c>
    </row>
    <row r="342" spans="1:11" x14ac:dyDescent="0.3">
      <c r="A342" s="4">
        <v>32994</v>
      </c>
      <c r="B342" s="5">
        <v>8.18</v>
      </c>
      <c r="C342" s="11">
        <v>129.1</v>
      </c>
      <c r="D342" s="6">
        <v>62.625799999999998</v>
      </c>
      <c r="E342" s="5">
        <v>10.41</v>
      </c>
      <c r="F342" s="5">
        <v>9.4700000000000006</v>
      </c>
      <c r="G342" s="5">
        <f t="shared" si="5"/>
        <v>0.9399999999999995</v>
      </c>
      <c r="H342" s="6">
        <v>639.81100000000004</v>
      </c>
      <c r="I342" s="7">
        <v>361.23001098632801</v>
      </c>
      <c r="J342" s="7">
        <v>13.782968681664601</v>
      </c>
      <c r="K342" s="7">
        <v>0</v>
      </c>
    </row>
    <row r="343" spans="1:11" x14ac:dyDescent="0.3">
      <c r="A343" s="4">
        <v>33025</v>
      </c>
      <c r="B343" s="5">
        <v>8.2899999999999991</v>
      </c>
      <c r="C343" s="11">
        <v>129.9</v>
      </c>
      <c r="D343" s="6">
        <v>62.838200000000001</v>
      </c>
      <c r="E343" s="5">
        <v>10.220000000000001</v>
      </c>
      <c r="F343" s="5">
        <v>9.26</v>
      </c>
      <c r="G343" s="5">
        <f t="shared" si="5"/>
        <v>0.96000000000000085</v>
      </c>
      <c r="H343" s="6">
        <v>641.36450000000002</v>
      </c>
      <c r="I343" s="7">
        <v>358.01998901367102</v>
      </c>
      <c r="J343" s="7">
        <v>16.505630750809299</v>
      </c>
      <c r="K343" s="7">
        <v>0</v>
      </c>
    </row>
    <row r="344" spans="1:11" x14ac:dyDescent="0.3">
      <c r="A344" s="4">
        <v>33055</v>
      </c>
      <c r="B344" s="5">
        <v>8.15</v>
      </c>
      <c r="C344" s="11">
        <v>130.5</v>
      </c>
      <c r="D344" s="6">
        <v>62.728400000000001</v>
      </c>
      <c r="E344" s="5">
        <v>10.199999999999999</v>
      </c>
      <c r="F344" s="5">
        <v>9.24</v>
      </c>
      <c r="G344" s="5">
        <f t="shared" si="5"/>
        <v>0.95999999999999908</v>
      </c>
      <c r="H344" s="6">
        <v>639.79629999999997</v>
      </c>
      <c r="I344" s="7">
        <v>356.14999389648398</v>
      </c>
      <c r="J344" s="7">
        <v>16.199726402511399</v>
      </c>
      <c r="K344" s="7">
        <v>0</v>
      </c>
    </row>
    <row r="345" spans="1:11" x14ac:dyDescent="0.3">
      <c r="A345" s="4">
        <v>33086</v>
      </c>
      <c r="B345" s="5">
        <v>8.1300000000000008</v>
      </c>
      <c r="C345" s="11">
        <v>131.6</v>
      </c>
      <c r="D345" s="6">
        <v>62.947499999999998</v>
      </c>
      <c r="E345" s="5">
        <v>10.41</v>
      </c>
      <c r="F345" s="5">
        <v>9.41</v>
      </c>
      <c r="G345" s="5">
        <f t="shared" si="5"/>
        <v>1</v>
      </c>
      <c r="H345" s="6">
        <v>640.27449999999999</v>
      </c>
      <c r="I345" s="7">
        <v>322.55999755859301</v>
      </c>
      <c r="J345" s="7">
        <v>31.6290977346878</v>
      </c>
      <c r="K345" s="7">
        <v>1</v>
      </c>
    </row>
    <row r="346" spans="1:11" x14ac:dyDescent="0.3">
      <c r="A346" s="4">
        <v>33117</v>
      </c>
      <c r="B346" s="5">
        <v>8.1999999999999993</v>
      </c>
      <c r="C346" s="11">
        <v>132.5</v>
      </c>
      <c r="D346" s="6">
        <v>62.952300000000001</v>
      </c>
      <c r="E346" s="5">
        <v>10.64</v>
      </c>
      <c r="F346" s="5">
        <v>9.56</v>
      </c>
      <c r="G346" s="5">
        <f t="shared" si="5"/>
        <v>1.08</v>
      </c>
      <c r="H346" s="6">
        <v>639.3691</v>
      </c>
      <c r="I346" s="7">
        <v>306.04998779296801</v>
      </c>
      <c r="J346" s="7">
        <v>20.376638222177402</v>
      </c>
      <c r="K346" s="7">
        <v>0</v>
      </c>
    </row>
    <row r="347" spans="1:11" x14ac:dyDescent="0.3">
      <c r="A347" s="4">
        <v>33147</v>
      </c>
      <c r="B347" s="5">
        <v>8.11</v>
      </c>
      <c r="C347" s="11">
        <v>133.4</v>
      </c>
      <c r="D347" s="6">
        <v>62.584499999999998</v>
      </c>
      <c r="E347" s="5">
        <v>10.74</v>
      </c>
      <c r="F347" s="5">
        <v>9.5299999999999994</v>
      </c>
      <c r="G347" s="5">
        <f t="shared" si="5"/>
        <v>1.2100000000000009</v>
      </c>
      <c r="H347" s="6">
        <v>637.51800000000003</v>
      </c>
      <c r="I347" s="7">
        <v>304</v>
      </c>
      <c r="J347" s="7">
        <v>28.641058950423499</v>
      </c>
      <c r="K347" s="7">
        <v>1</v>
      </c>
    </row>
    <row r="348" spans="1:11" x14ac:dyDescent="0.3">
      <c r="A348" s="4">
        <v>33178</v>
      </c>
      <c r="B348" s="5">
        <v>7.81</v>
      </c>
      <c r="C348" s="11">
        <v>133.69999999999999</v>
      </c>
      <c r="D348" s="6">
        <v>61.788699999999999</v>
      </c>
      <c r="E348" s="5">
        <v>10.62</v>
      </c>
      <c r="F348" s="5">
        <v>9.3000000000000007</v>
      </c>
      <c r="G348" s="5">
        <f t="shared" si="5"/>
        <v>1.3199999999999985</v>
      </c>
      <c r="H348" s="6">
        <v>639.18859999999995</v>
      </c>
      <c r="I348" s="7">
        <v>322.22000122070301</v>
      </c>
      <c r="J348" s="7">
        <v>21.3509356710255</v>
      </c>
      <c r="K348" s="7">
        <v>1</v>
      </c>
    </row>
    <row r="349" spans="1:11" x14ac:dyDescent="0.3">
      <c r="A349" s="4">
        <v>33208</v>
      </c>
      <c r="B349" s="5">
        <v>7.31</v>
      </c>
      <c r="C349" s="11">
        <v>134.19999999999999</v>
      </c>
      <c r="D349" s="6">
        <v>61.3352</v>
      </c>
      <c r="E349" s="5">
        <v>10.43</v>
      </c>
      <c r="F349" s="5">
        <v>9.0500000000000007</v>
      </c>
      <c r="G349" s="5">
        <f t="shared" si="5"/>
        <v>1.379999999999999</v>
      </c>
      <c r="H349" s="6">
        <v>642.02840000000003</v>
      </c>
      <c r="I349" s="7">
        <v>330.22000122070301</v>
      </c>
      <c r="J349" s="7">
        <v>12.7024570439001</v>
      </c>
      <c r="K349" s="7">
        <v>0</v>
      </c>
    </row>
    <row r="350" spans="1:11" x14ac:dyDescent="0.3">
      <c r="A350" s="4">
        <v>33239</v>
      </c>
      <c r="B350" s="5">
        <v>6.91</v>
      </c>
      <c r="C350" s="11">
        <v>134.69999999999999</v>
      </c>
      <c r="D350" s="6">
        <v>61.1355</v>
      </c>
      <c r="E350" s="5">
        <v>10.45</v>
      </c>
      <c r="F350" s="5">
        <v>9.0399999999999991</v>
      </c>
      <c r="G350" s="5">
        <f t="shared" si="5"/>
        <v>1.4100000000000001</v>
      </c>
      <c r="H350" s="6">
        <v>636.13189999999997</v>
      </c>
      <c r="I350" s="7">
        <v>343.92999267578102</v>
      </c>
      <c r="J350" s="7">
        <v>24.271517516728299</v>
      </c>
      <c r="K350" s="7">
        <v>1</v>
      </c>
    </row>
    <row r="351" spans="1:11" x14ac:dyDescent="0.3">
      <c r="A351" s="4">
        <v>33270</v>
      </c>
      <c r="B351" s="5">
        <v>6.25</v>
      </c>
      <c r="C351" s="11">
        <v>134.80000000000001</v>
      </c>
      <c r="D351" s="6">
        <v>60.683799999999998</v>
      </c>
      <c r="E351" s="5">
        <v>10.07</v>
      </c>
      <c r="F351" s="5">
        <v>8.83</v>
      </c>
      <c r="G351" s="5">
        <f t="shared" si="5"/>
        <v>1.2400000000000002</v>
      </c>
      <c r="H351" s="6">
        <v>635.91639999999995</v>
      </c>
      <c r="I351" s="7">
        <v>367.07000732421801</v>
      </c>
      <c r="J351" s="7">
        <v>22.094516529498001</v>
      </c>
      <c r="K351" s="7">
        <v>1</v>
      </c>
    </row>
    <row r="352" spans="1:11" x14ac:dyDescent="0.3">
      <c r="A352" s="4">
        <v>33298</v>
      </c>
      <c r="B352" s="5">
        <v>6.12</v>
      </c>
      <c r="C352" s="11">
        <v>134.80000000000001</v>
      </c>
      <c r="D352" s="6">
        <v>60.334600000000002</v>
      </c>
      <c r="E352" s="5">
        <v>10.09</v>
      </c>
      <c r="F352" s="5">
        <v>8.93</v>
      </c>
      <c r="G352" s="5">
        <f t="shared" si="5"/>
        <v>1.1600000000000001</v>
      </c>
      <c r="H352" s="6">
        <v>635.21900000000005</v>
      </c>
      <c r="I352" s="7">
        <v>375.22000122070301</v>
      </c>
      <c r="J352" s="7">
        <v>16.853221495349398</v>
      </c>
      <c r="K352" s="7">
        <v>0</v>
      </c>
    </row>
    <row r="353" spans="1:11" x14ac:dyDescent="0.3">
      <c r="A353" s="4">
        <v>33329</v>
      </c>
      <c r="B353" s="5">
        <v>5.91</v>
      </c>
      <c r="C353" s="11">
        <v>135.1</v>
      </c>
      <c r="D353" s="6">
        <v>60.4938</v>
      </c>
      <c r="E353" s="5">
        <v>9.94</v>
      </c>
      <c r="F353" s="5">
        <v>8.86</v>
      </c>
      <c r="G353" s="5">
        <f t="shared" si="5"/>
        <v>1.08</v>
      </c>
      <c r="H353" s="6">
        <v>631.34540000000004</v>
      </c>
      <c r="I353" s="7">
        <v>375.33999633789</v>
      </c>
      <c r="J353" s="7">
        <v>19.906895595043402</v>
      </c>
      <c r="K353" s="7">
        <v>0</v>
      </c>
    </row>
    <row r="354" spans="1:11" x14ac:dyDescent="0.3">
      <c r="A354" s="4">
        <v>33359</v>
      </c>
      <c r="B354" s="5">
        <v>5.78</v>
      </c>
      <c r="C354" s="11">
        <v>135.6</v>
      </c>
      <c r="D354" s="6">
        <v>61.063299999999998</v>
      </c>
      <c r="E354" s="5">
        <v>9.86</v>
      </c>
      <c r="F354" s="5">
        <v>8.86</v>
      </c>
      <c r="G354" s="5">
        <f t="shared" si="5"/>
        <v>1</v>
      </c>
      <c r="H354" s="6">
        <v>627.78679999999997</v>
      </c>
      <c r="I354" s="7">
        <v>389.829986572265</v>
      </c>
      <c r="J354" s="7">
        <v>17.0966300148784</v>
      </c>
      <c r="K354" s="7">
        <v>0</v>
      </c>
    </row>
    <row r="355" spans="1:11" x14ac:dyDescent="0.3">
      <c r="A355" s="4">
        <v>33390</v>
      </c>
      <c r="B355" s="5">
        <v>5.9</v>
      </c>
      <c r="C355" s="11">
        <v>136</v>
      </c>
      <c r="D355" s="6">
        <v>61.558100000000003</v>
      </c>
      <c r="E355" s="5">
        <v>9.9600000000000009</v>
      </c>
      <c r="F355" s="5">
        <v>9.01</v>
      </c>
      <c r="G355" s="5">
        <f t="shared" si="5"/>
        <v>0.95000000000000107</v>
      </c>
      <c r="H355" s="6">
        <v>626.11120000000005</v>
      </c>
      <c r="I355" s="7">
        <v>371.16000366210898</v>
      </c>
      <c r="J355" s="7">
        <v>15.0487961019812</v>
      </c>
      <c r="K355" s="7">
        <v>0</v>
      </c>
    </row>
    <row r="356" spans="1:11" x14ac:dyDescent="0.3">
      <c r="A356" s="4">
        <v>33420</v>
      </c>
      <c r="B356" s="5">
        <v>5.82</v>
      </c>
      <c r="C356" s="11">
        <v>136.19999999999999</v>
      </c>
      <c r="D356" s="6">
        <v>61.730499999999999</v>
      </c>
      <c r="E356" s="5">
        <v>9.89</v>
      </c>
      <c r="F356" s="5">
        <v>9</v>
      </c>
      <c r="G356" s="5">
        <f t="shared" si="5"/>
        <v>0.89000000000000057</v>
      </c>
      <c r="H356" s="6">
        <v>623.15729999999996</v>
      </c>
      <c r="I356" s="7">
        <v>387.80999755859301</v>
      </c>
      <c r="J356" s="7">
        <v>13.9199848439048</v>
      </c>
      <c r="K356" s="7">
        <v>0</v>
      </c>
    </row>
    <row r="357" spans="1:11" x14ac:dyDescent="0.3">
      <c r="A357" s="4">
        <v>33451</v>
      </c>
      <c r="B357" s="5">
        <v>5.66</v>
      </c>
      <c r="C357" s="11">
        <v>136.6</v>
      </c>
      <c r="D357" s="6">
        <v>61.729799999999997</v>
      </c>
      <c r="E357" s="5">
        <v>9.65</v>
      </c>
      <c r="F357" s="5">
        <v>8.75</v>
      </c>
      <c r="G357" s="5">
        <f t="shared" si="5"/>
        <v>0.90000000000000036</v>
      </c>
      <c r="H357" s="6">
        <v>618.34680000000003</v>
      </c>
      <c r="I357" s="7">
        <v>395.42999267578102</v>
      </c>
      <c r="J357" s="7">
        <v>19.619940033774299</v>
      </c>
      <c r="K357" s="7">
        <v>0</v>
      </c>
    </row>
    <row r="358" spans="1:11" x14ac:dyDescent="0.3">
      <c r="A358" s="4">
        <v>33482</v>
      </c>
      <c r="B358" s="5">
        <v>5.45</v>
      </c>
      <c r="C358" s="11">
        <v>137</v>
      </c>
      <c r="D358" s="6">
        <v>62.219499999999996</v>
      </c>
      <c r="E358" s="5">
        <v>9.51</v>
      </c>
      <c r="F358" s="5">
        <v>8.61</v>
      </c>
      <c r="G358" s="5">
        <f t="shared" si="5"/>
        <v>0.90000000000000036</v>
      </c>
      <c r="H358" s="6">
        <v>620.49590000000001</v>
      </c>
      <c r="I358" s="7">
        <v>387.85998535156199</v>
      </c>
      <c r="J358" s="7">
        <v>9.8594959290760507</v>
      </c>
      <c r="K358" s="7">
        <v>0</v>
      </c>
    </row>
    <row r="359" spans="1:11" x14ac:dyDescent="0.3">
      <c r="A359" s="4">
        <v>33512</v>
      </c>
      <c r="B359" s="5">
        <v>5.21</v>
      </c>
      <c r="C359" s="11">
        <v>137.19999999999999</v>
      </c>
      <c r="D359" s="6">
        <v>62.185499999999998</v>
      </c>
      <c r="E359" s="5">
        <v>9.49</v>
      </c>
      <c r="F359" s="5">
        <v>8.5500000000000007</v>
      </c>
      <c r="G359" s="5">
        <f t="shared" si="5"/>
        <v>0.9399999999999995</v>
      </c>
      <c r="H359" s="6">
        <v>620.9588</v>
      </c>
      <c r="I359" s="7">
        <v>392.45001220703102</v>
      </c>
      <c r="J359" s="7">
        <v>14.293659179425401</v>
      </c>
      <c r="K359" s="7">
        <v>0</v>
      </c>
    </row>
    <row r="360" spans="1:11" x14ac:dyDescent="0.3">
      <c r="A360" s="4">
        <v>33543</v>
      </c>
      <c r="B360" s="5">
        <v>4.8099999999999996</v>
      </c>
      <c r="C360" s="11">
        <v>137.80000000000001</v>
      </c>
      <c r="D360" s="6">
        <v>62.0871</v>
      </c>
      <c r="E360" s="5">
        <v>9.4499999999999993</v>
      </c>
      <c r="F360" s="5">
        <v>8.48</v>
      </c>
      <c r="G360" s="5">
        <f t="shared" si="5"/>
        <v>0.96999999999999886</v>
      </c>
      <c r="H360" s="6">
        <v>618.41409999999996</v>
      </c>
      <c r="I360" s="7">
        <v>375.22000122070301</v>
      </c>
      <c r="J360" s="7">
        <v>20.603081303729699</v>
      </c>
      <c r="K360" s="7">
        <v>0</v>
      </c>
    </row>
    <row r="361" spans="1:11" x14ac:dyDescent="0.3">
      <c r="A361" s="4">
        <v>33573</v>
      </c>
      <c r="B361" s="5">
        <v>4.43</v>
      </c>
      <c r="C361" s="11">
        <v>138.19999999999999</v>
      </c>
      <c r="D361" s="6">
        <v>61.785200000000003</v>
      </c>
      <c r="E361" s="5">
        <v>9.26</v>
      </c>
      <c r="F361" s="5">
        <v>8.31</v>
      </c>
      <c r="G361" s="5">
        <f t="shared" si="5"/>
        <v>0.94999999999999929</v>
      </c>
      <c r="H361" s="6">
        <v>618.83619999999996</v>
      </c>
      <c r="I361" s="7">
        <v>417.08999633789</v>
      </c>
      <c r="J361" s="7">
        <v>17.276296311686401</v>
      </c>
      <c r="K361" s="7">
        <v>0</v>
      </c>
    </row>
    <row r="362" spans="1:11" x14ac:dyDescent="0.3">
      <c r="A362" s="4">
        <v>33604</v>
      </c>
      <c r="B362" s="5">
        <v>4.03</v>
      </c>
      <c r="C362" s="11">
        <v>138.30000000000001</v>
      </c>
      <c r="D362" s="6">
        <v>61.461599999999997</v>
      </c>
      <c r="E362" s="5">
        <v>9.1300000000000008</v>
      </c>
      <c r="F362" s="5">
        <v>8.1999999999999993</v>
      </c>
      <c r="G362" s="5">
        <f t="shared" si="5"/>
        <v>0.93000000000000149</v>
      </c>
      <c r="H362" s="6">
        <v>613.57380000000001</v>
      </c>
      <c r="I362" s="7">
        <v>408.77999877929602</v>
      </c>
      <c r="J362" s="7">
        <v>12.7859515556184</v>
      </c>
      <c r="K362" s="7">
        <v>0</v>
      </c>
    </row>
    <row r="363" spans="1:11" x14ac:dyDescent="0.3">
      <c r="A363" s="4">
        <v>33635</v>
      </c>
      <c r="B363" s="5">
        <v>4.0599999999999996</v>
      </c>
      <c r="C363" s="11">
        <v>138.6</v>
      </c>
      <c r="D363" s="6">
        <v>61.895499999999998</v>
      </c>
      <c r="E363" s="5">
        <v>9.23</v>
      </c>
      <c r="F363" s="5">
        <v>8.2899999999999991</v>
      </c>
      <c r="G363" s="5">
        <f t="shared" si="5"/>
        <v>0.94000000000000128</v>
      </c>
      <c r="H363" s="6">
        <v>609.67430000000002</v>
      </c>
      <c r="I363" s="7">
        <v>412.70001220703102</v>
      </c>
      <c r="J363" s="7">
        <v>14.247069745916701</v>
      </c>
      <c r="K363" s="7">
        <v>0</v>
      </c>
    </row>
    <row r="364" spans="1:11" x14ac:dyDescent="0.3">
      <c r="A364" s="4">
        <v>33664</v>
      </c>
      <c r="B364" s="5">
        <v>3.98</v>
      </c>
      <c r="C364" s="11">
        <v>139.1</v>
      </c>
      <c r="D364" s="6">
        <v>62.423200000000001</v>
      </c>
      <c r="E364" s="5">
        <v>9.25</v>
      </c>
      <c r="F364" s="5">
        <v>8.35</v>
      </c>
      <c r="G364" s="5">
        <f t="shared" si="5"/>
        <v>0.90000000000000036</v>
      </c>
      <c r="H364" s="6">
        <v>607.34379999999999</v>
      </c>
      <c r="I364" s="7">
        <v>403.69000244140602</v>
      </c>
      <c r="J364" s="7">
        <v>9.2894394615455997</v>
      </c>
      <c r="K364" s="7">
        <v>0</v>
      </c>
    </row>
    <row r="365" spans="1:11" x14ac:dyDescent="0.3">
      <c r="A365" s="4">
        <v>33695</v>
      </c>
      <c r="B365" s="5">
        <v>3.73</v>
      </c>
      <c r="C365" s="11">
        <v>139.4</v>
      </c>
      <c r="D365" s="6">
        <v>62.896999999999998</v>
      </c>
      <c r="E365" s="5">
        <v>9.2100000000000009</v>
      </c>
      <c r="F365" s="5">
        <v>8.33</v>
      </c>
      <c r="G365" s="5">
        <f t="shared" si="5"/>
        <v>0.88000000000000078</v>
      </c>
      <c r="H365" s="6">
        <v>604.42060000000004</v>
      </c>
      <c r="I365" s="7">
        <v>414.95001220703102</v>
      </c>
      <c r="J365" s="7">
        <v>18.085653115421199</v>
      </c>
      <c r="K365" s="7">
        <v>0</v>
      </c>
    </row>
    <row r="366" spans="1:11" x14ac:dyDescent="0.3">
      <c r="A366" s="4">
        <v>33725</v>
      </c>
      <c r="B366" s="5">
        <v>3.82</v>
      </c>
      <c r="C366" s="11">
        <v>139.69999999999999</v>
      </c>
      <c r="D366" s="6">
        <v>63.103999999999999</v>
      </c>
      <c r="E366" s="5">
        <v>9.1300000000000008</v>
      </c>
      <c r="F366" s="5">
        <v>8.2799999999999994</v>
      </c>
      <c r="G366" s="5">
        <f t="shared" si="5"/>
        <v>0.85000000000000142</v>
      </c>
      <c r="H366" s="6">
        <v>602.25250000000005</v>
      </c>
      <c r="I366" s="7">
        <v>415.350006103515</v>
      </c>
      <c r="J366" s="7">
        <v>12.0817564315085</v>
      </c>
      <c r="K366" s="7">
        <v>0</v>
      </c>
    </row>
    <row r="367" spans="1:11" x14ac:dyDescent="0.3">
      <c r="A367" s="4">
        <v>33756</v>
      </c>
      <c r="B367" s="5">
        <v>3.76</v>
      </c>
      <c r="C367" s="11">
        <v>140.1</v>
      </c>
      <c r="D367" s="6">
        <v>63.136299999999999</v>
      </c>
      <c r="E367" s="5">
        <v>9.0500000000000007</v>
      </c>
      <c r="F367" s="5">
        <v>8.2200000000000006</v>
      </c>
      <c r="G367" s="5">
        <f t="shared" si="5"/>
        <v>0.83000000000000007</v>
      </c>
      <c r="H367" s="6">
        <v>600.72829999999999</v>
      </c>
      <c r="I367" s="7">
        <v>408.14001464843699</v>
      </c>
      <c r="J367" s="7">
        <v>11.9262528366909</v>
      </c>
      <c r="K367" s="7">
        <v>0</v>
      </c>
    </row>
    <row r="368" spans="1:11" x14ac:dyDescent="0.3">
      <c r="A368" s="4">
        <v>33786</v>
      </c>
      <c r="B368" s="5">
        <v>3.25</v>
      </c>
      <c r="C368" s="11">
        <v>140.5</v>
      </c>
      <c r="D368" s="6">
        <v>63.717599999999997</v>
      </c>
      <c r="E368" s="5">
        <v>8.84</v>
      </c>
      <c r="F368" s="5">
        <v>8.07</v>
      </c>
      <c r="G368" s="5">
        <f t="shared" si="5"/>
        <v>0.76999999999999957</v>
      </c>
      <c r="H368" s="6">
        <v>599.25210000000004</v>
      </c>
      <c r="I368" s="7">
        <v>424.20999145507801</v>
      </c>
      <c r="J368" s="7">
        <v>12.580425463332601</v>
      </c>
      <c r="K368" s="7">
        <v>0</v>
      </c>
    </row>
    <row r="369" spans="1:11" x14ac:dyDescent="0.3">
      <c r="A369" s="4">
        <v>33817</v>
      </c>
      <c r="B369" s="5">
        <v>3.3</v>
      </c>
      <c r="C369" s="11">
        <v>140.80000000000001</v>
      </c>
      <c r="D369" s="6">
        <v>63.3613</v>
      </c>
      <c r="E369" s="5">
        <v>8.65</v>
      </c>
      <c r="F369" s="5">
        <v>7.95</v>
      </c>
      <c r="G369" s="5">
        <f t="shared" si="5"/>
        <v>0.70000000000000018</v>
      </c>
      <c r="H369" s="6">
        <v>597.28309999999999</v>
      </c>
      <c r="I369" s="7">
        <v>414.02999877929602</v>
      </c>
      <c r="J369" s="7">
        <v>8.3142254204371806</v>
      </c>
      <c r="K369" s="7">
        <v>0</v>
      </c>
    </row>
    <row r="370" spans="1:11" x14ac:dyDescent="0.3">
      <c r="A370" s="4">
        <v>33848</v>
      </c>
      <c r="B370" s="5">
        <v>3.22</v>
      </c>
      <c r="C370" s="11">
        <v>141.1</v>
      </c>
      <c r="D370" s="6">
        <v>63.570300000000003</v>
      </c>
      <c r="E370" s="5">
        <v>8.6199999999999992</v>
      </c>
      <c r="F370" s="5">
        <v>7.92</v>
      </c>
      <c r="G370" s="5">
        <f t="shared" si="5"/>
        <v>0.69999999999999929</v>
      </c>
      <c r="H370" s="6">
        <v>598.39559999999994</v>
      </c>
      <c r="I370" s="7">
        <v>417.79998779296801</v>
      </c>
      <c r="J370" s="7">
        <v>13.2366215234696</v>
      </c>
      <c r="K370" s="7">
        <v>0</v>
      </c>
    </row>
    <row r="371" spans="1:11" x14ac:dyDescent="0.3">
      <c r="A371" s="4">
        <v>33878</v>
      </c>
      <c r="B371" s="5">
        <v>3.1</v>
      </c>
      <c r="C371" s="11">
        <v>141.69999999999999</v>
      </c>
      <c r="D371" s="6">
        <v>63.999499999999998</v>
      </c>
      <c r="E371" s="5">
        <v>8.84</v>
      </c>
      <c r="F371" s="5">
        <v>7.99</v>
      </c>
      <c r="G371" s="5">
        <f t="shared" si="5"/>
        <v>0.84999999999999964</v>
      </c>
      <c r="H371" s="6">
        <v>596.83240000000001</v>
      </c>
      <c r="I371" s="7">
        <v>418.67999267578102</v>
      </c>
      <c r="J371" s="7">
        <v>13.4712271528131</v>
      </c>
      <c r="K371" s="7">
        <v>0</v>
      </c>
    </row>
    <row r="372" spans="1:11" x14ac:dyDescent="0.3">
      <c r="A372" s="4">
        <v>33909</v>
      </c>
      <c r="B372" s="5">
        <v>3.09</v>
      </c>
      <c r="C372" s="11">
        <v>142.1</v>
      </c>
      <c r="D372" s="6">
        <v>64.242199999999997</v>
      </c>
      <c r="E372" s="5">
        <v>8.9600000000000009</v>
      </c>
      <c r="F372" s="5">
        <v>8.1</v>
      </c>
      <c r="G372" s="5">
        <f t="shared" si="5"/>
        <v>0.86000000000000121</v>
      </c>
      <c r="H372" s="6">
        <v>596.89480000000003</v>
      </c>
      <c r="I372" s="7">
        <v>431.350006103515</v>
      </c>
      <c r="J372" s="7">
        <v>9.8949061875365594</v>
      </c>
      <c r="K372" s="7">
        <v>0</v>
      </c>
    </row>
    <row r="373" spans="1:11" x14ac:dyDescent="0.3">
      <c r="A373" s="4">
        <v>33939</v>
      </c>
      <c r="B373" s="5">
        <v>2.92</v>
      </c>
      <c r="C373" s="11">
        <v>142.30000000000001</v>
      </c>
      <c r="D373" s="6">
        <v>64.350700000000003</v>
      </c>
      <c r="E373" s="5">
        <v>8.81</v>
      </c>
      <c r="F373" s="5">
        <v>7.98</v>
      </c>
      <c r="G373" s="5">
        <f t="shared" si="5"/>
        <v>0.83000000000000007</v>
      </c>
      <c r="H373" s="6">
        <v>596.92020000000002</v>
      </c>
      <c r="I373" s="7">
        <v>435.70999145507801</v>
      </c>
      <c r="J373" s="7">
        <v>9.4335326203586494</v>
      </c>
      <c r="K373" s="7">
        <v>0</v>
      </c>
    </row>
    <row r="374" spans="1:11" x14ac:dyDescent="0.3">
      <c r="A374" s="4">
        <v>33970</v>
      </c>
      <c r="B374" s="5">
        <v>3.02</v>
      </c>
      <c r="C374" s="11">
        <v>142.80000000000001</v>
      </c>
      <c r="D374" s="6">
        <v>64.597800000000007</v>
      </c>
      <c r="E374" s="5">
        <v>8.67</v>
      </c>
      <c r="F374" s="5">
        <v>7.91</v>
      </c>
      <c r="G374" s="5">
        <f t="shared" si="5"/>
        <v>0.75999999999999979</v>
      </c>
      <c r="H374" s="6">
        <v>595.45330000000001</v>
      </c>
      <c r="I374" s="7">
        <v>438.77999877929602</v>
      </c>
      <c r="J374" s="7">
        <v>8.5668738269222899</v>
      </c>
      <c r="K374" s="7">
        <v>0</v>
      </c>
    </row>
    <row r="375" spans="1:11" x14ac:dyDescent="0.3">
      <c r="A375" s="4">
        <v>34001</v>
      </c>
      <c r="B375" s="5">
        <v>3.03</v>
      </c>
      <c r="C375" s="11">
        <v>143.1</v>
      </c>
      <c r="D375" s="6">
        <v>64.908900000000003</v>
      </c>
      <c r="E375" s="5">
        <v>8.39</v>
      </c>
      <c r="F375" s="5">
        <v>7.71</v>
      </c>
      <c r="G375" s="5">
        <f t="shared" si="5"/>
        <v>0.6800000000000006</v>
      </c>
      <c r="H375" s="6">
        <v>593.40740000000005</v>
      </c>
      <c r="I375" s="7">
        <v>443.38000488281199</v>
      </c>
      <c r="J375" s="7">
        <v>16.056841070391101</v>
      </c>
      <c r="K375" s="7">
        <v>0</v>
      </c>
    </row>
    <row r="376" spans="1:11" x14ac:dyDescent="0.3">
      <c r="A376" s="4">
        <v>34029</v>
      </c>
      <c r="B376" s="5">
        <v>3.07</v>
      </c>
      <c r="C376" s="11">
        <v>143.30000000000001</v>
      </c>
      <c r="D376" s="6">
        <v>64.852199999999996</v>
      </c>
      <c r="E376" s="5">
        <v>8.15</v>
      </c>
      <c r="F376" s="5">
        <v>7.58</v>
      </c>
      <c r="G376" s="5">
        <f t="shared" si="5"/>
        <v>0.57000000000000028</v>
      </c>
      <c r="H376" s="6">
        <v>591.30070000000001</v>
      </c>
      <c r="I376" s="7">
        <v>451.67001342773398</v>
      </c>
      <c r="J376" s="7">
        <v>13.4049391290231</v>
      </c>
      <c r="K376" s="7">
        <v>0</v>
      </c>
    </row>
    <row r="377" spans="1:11" x14ac:dyDescent="0.3">
      <c r="A377" s="4">
        <v>34060</v>
      </c>
      <c r="B377" s="5">
        <v>2.96</v>
      </c>
      <c r="C377" s="11">
        <v>143.80000000000001</v>
      </c>
      <c r="D377" s="6">
        <v>65.030100000000004</v>
      </c>
      <c r="E377" s="5">
        <v>8.14</v>
      </c>
      <c r="F377" s="5">
        <v>7.46</v>
      </c>
      <c r="G377" s="5">
        <f t="shared" si="5"/>
        <v>0.6800000000000006</v>
      </c>
      <c r="H377" s="6">
        <v>585.57950000000005</v>
      </c>
      <c r="I377" s="7">
        <v>440.19000244140602</v>
      </c>
      <c r="J377" s="7">
        <v>14.042363274343099</v>
      </c>
      <c r="K377" s="7">
        <v>0</v>
      </c>
    </row>
    <row r="378" spans="1:11" x14ac:dyDescent="0.3">
      <c r="A378" s="4">
        <v>34090</v>
      </c>
      <c r="B378" s="5">
        <v>3</v>
      </c>
      <c r="C378" s="11">
        <v>144.19999999999999</v>
      </c>
      <c r="D378" s="6">
        <v>64.784000000000006</v>
      </c>
      <c r="E378" s="5">
        <v>8.2100000000000009</v>
      </c>
      <c r="F378" s="5">
        <v>7.43</v>
      </c>
      <c r="G378" s="5">
        <f t="shared" si="5"/>
        <v>0.78000000000000114</v>
      </c>
      <c r="H378" s="6">
        <v>588.00609999999995</v>
      </c>
      <c r="I378" s="7">
        <v>450.19000244140602</v>
      </c>
      <c r="J378" s="7">
        <v>12.939207844218499</v>
      </c>
      <c r="K378" s="7">
        <v>0</v>
      </c>
    </row>
    <row r="379" spans="1:11" x14ac:dyDescent="0.3">
      <c r="A379" s="4">
        <v>34121</v>
      </c>
      <c r="B379" s="5">
        <v>3.04</v>
      </c>
      <c r="C379" s="11">
        <v>144.30000000000001</v>
      </c>
      <c r="D379" s="6">
        <v>64.930099999999996</v>
      </c>
      <c r="E379" s="5">
        <v>8.07</v>
      </c>
      <c r="F379" s="5">
        <v>7.33</v>
      </c>
      <c r="G379" s="5">
        <f t="shared" si="5"/>
        <v>0.74000000000000021</v>
      </c>
      <c r="H379" s="6">
        <v>589.90949999999998</v>
      </c>
      <c r="I379" s="7">
        <v>450.52999877929602</v>
      </c>
      <c r="J379" s="7">
        <v>10.4945231477191</v>
      </c>
      <c r="K379" s="7">
        <v>0</v>
      </c>
    </row>
    <row r="380" spans="1:11" x14ac:dyDescent="0.3">
      <c r="A380" s="4">
        <v>34151</v>
      </c>
      <c r="B380" s="5">
        <v>3.06</v>
      </c>
      <c r="C380" s="11">
        <v>144.5</v>
      </c>
      <c r="D380" s="6">
        <v>65.105199999999996</v>
      </c>
      <c r="E380" s="5">
        <v>7.93</v>
      </c>
      <c r="F380" s="5">
        <v>7.17</v>
      </c>
      <c r="G380" s="5">
        <f t="shared" si="5"/>
        <v>0.75999999999999979</v>
      </c>
      <c r="H380" s="6">
        <v>587.92769999999996</v>
      </c>
      <c r="I380" s="7">
        <v>448.13000488281199</v>
      </c>
      <c r="J380" s="7">
        <v>11.0605510398257</v>
      </c>
      <c r="K380" s="7">
        <v>0</v>
      </c>
    </row>
    <row r="381" spans="1:11" x14ac:dyDescent="0.3">
      <c r="A381" s="4">
        <v>34182</v>
      </c>
      <c r="B381" s="5">
        <v>3.03</v>
      </c>
      <c r="C381" s="11">
        <v>144.80000000000001</v>
      </c>
      <c r="D381" s="6">
        <v>65.026700000000005</v>
      </c>
      <c r="E381" s="5">
        <v>7.6</v>
      </c>
      <c r="F381" s="5">
        <v>6.85</v>
      </c>
      <c r="G381" s="5">
        <f t="shared" si="5"/>
        <v>0.75</v>
      </c>
      <c r="H381" s="6">
        <v>587.81560000000002</v>
      </c>
      <c r="I381" s="7">
        <v>463.55999755859301</v>
      </c>
      <c r="J381" s="7">
        <v>6.6132946646211099</v>
      </c>
      <c r="K381" s="7">
        <v>0</v>
      </c>
    </row>
    <row r="382" spans="1:11" x14ac:dyDescent="0.3">
      <c r="A382" s="4">
        <v>34213</v>
      </c>
      <c r="B382" s="5">
        <v>3.09</v>
      </c>
      <c r="C382" s="11">
        <v>145</v>
      </c>
      <c r="D382" s="6">
        <v>65.371700000000004</v>
      </c>
      <c r="E382" s="5">
        <v>7.34</v>
      </c>
      <c r="F382" s="5">
        <v>6.66</v>
      </c>
      <c r="G382" s="5">
        <f t="shared" si="5"/>
        <v>0.67999999999999972</v>
      </c>
      <c r="H382" s="6">
        <v>585.45650000000001</v>
      </c>
      <c r="I382" s="7">
        <v>458.92999267578102</v>
      </c>
      <c r="J382" s="7">
        <v>9.6817676125198098</v>
      </c>
      <c r="K382" s="7">
        <v>0</v>
      </c>
    </row>
    <row r="383" spans="1:11" x14ac:dyDescent="0.3">
      <c r="A383" s="4">
        <v>34243</v>
      </c>
      <c r="B383" s="5">
        <v>2.99</v>
      </c>
      <c r="C383" s="11">
        <v>145.6</v>
      </c>
      <c r="D383" s="6">
        <v>65.850899999999996</v>
      </c>
      <c r="E383" s="5">
        <v>7.31</v>
      </c>
      <c r="F383" s="5">
        <v>6.67</v>
      </c>
      <c r="G383" s="5">
        <f t="shared" si="5"/>
        <v>0.63999999999999968</v>
      </c>
      <c r="H383" s="6">
        <v>583.90719999999999</v>
      </c>
      <c r="I383" s="7">
        <v>467.829986572265</v>
      </c>
      <c r="J383" s="7">
        <v>7.7038470726161599</v>
      </c>
      <c r="K383" s="7">
        <v>0</v>
      </c>
    </row>
    <row r="384" spans="1:11" x14ac:dyDescent="0.3">
      <c r="A384" s="4">
        <v>34274</v>
      </c>
      <c r="B384" s="5">
        <v>3.02</v>
      </c>
      <c r="C384" s="11">
        <v>146</v>
      </c>
      <c r="D384" s="6">
        <v>66.151799999999994</v>
      </c>
      <c r="E384" s="5">
        <v>7.66</v>
      </c>
      <c r="F384" s="5">
        <v>6.93</v>
      </c>
      <c r="G384" s="5">
        <f t="shared" si="5"/>
        <v>0.73000000000000043</v>
      </c>
      <c r="H384" s="6">
        <v>584.04830000000004</v>
      </c>
      <c r="I384" s="7">
        <v>461.79000854492102</v>
      </c>
      <c r="J384" s="7">
        <v>10.7278285062338</v>
      </c>
      <c r="K384" s="7">
        <v>0</v>
      </c>
    </row>
    <row r="385" spans="1:11" x14ac:dyDescent="0.3">
      <c r="A385" s="4">
        <v>34304</v>
      </c>
      <c r="B385" s="5">
        <v>2.96</v>
      </c>
      <c r="C385" s="11">
        <v>146.30000000000001</v>
      </c>
      <c r="D385" s="6">
        <v>66.543599999999998</v>
      </c>
      <c r="E385" s="5">
        <v>7.69</v>
      </c>
      <c r="F385" s="5">
        <v>6.93</v>
      </c>
      <c r="G385" s="5">
        <f t="shared" si="5"/>
        <v>0.76000000000000068</v>
      </c>
      <c r="H385" s="6">
        <v>583.99279999999999</v>
      </c>
      <c r="I385" s="7">
        <v>466.45001220703102</v>
      </c>
      <c r="J385" s="7">
        <v>7.1274652433244903</v>
      </c>
      <c r="K385" s="7">
        <v>0</v>
      </c>
    </row>
    <row r="386" spans="1:11" x14ac:dyDescent="0.3">
      <c r="A386" s="4">
        <v>34335</v>
      </c>
      <c r="B386" s="5">
        <v>3.05</v>
      </c>
      <c r="C386" s="11">
        <v>146.30000000000001</v>
      </c>
      <c r="D386" s="6">
        <v>66.735100000000003</v>
      </c>
      <c r="E386" s="5">
        <v>7.65</v>
      </c>
      <c r="F386" s="5">
        <v>6.92</v>
      </c>
      <c r="G386" s="5">
        <f t="shared" si="5"/>
        <v>0.73000000000000043</v>
      </c>
      <c r="H386" s="6">
        <v>587.41780000000006</v>
      </c>
      <c r="I386" s="7">
        <v>481.60998535156199</v>
      </c>
      <c r="J386" s="7">
        <v>8.6617297264837791</v>
      </c>
      <c r="K386" s="7">
        <v>0</v>
      </c>
    </row>
    <row r="387" spans="1:11" x14ac:dyDescent="0.3">
      <c r="A387" s="4">
        <v>34366</v>
      </c>
      <c r="B387" s="5">
        <v>3.25</v>
      </c>
      <c r="C387" s="11">
        <v>146.69999999999999</v>
      </c>
      <c r="D387" s="6">
        <v>66.774000000000001</v>
      </c>
      <c r="E387" s="5">
        <v>7.76</v>
      </c>
      <c r="F387" s="5">
        <v>7.08</v>
      </c>
      <c r="G387" s="5">
        <f t="shared" ref="G387:G450" si="6">E387-F387</f>
        <v>0.67999999999999972</v>
      </c>
      <c r="H387" s="6">
        <v>587.92190000000005</v>
      </c>
      <c r="I387" s="7">
        <v>467.14001464843699</v>
      </c>
      <c r="J387" s="7">
        <v>14.9018610291212</v>
      </c>
      <c r="K387" s="7">
        <v>0</v>
      </c>
    </row>
    <row r="388" spans="1:11" x14ac:dyDescent="0.3">
      <c r="A388" s="4">
        <v>34394</v>
      </c>
      <c r="B388" s="5">
        <v>3.34</v>
      </c>
      <c r="C388" s="11">
        <v>147.1</v>
      </c>
      <c r="D388" s="6">
        <v>67.455200000000005</v>
      </c>
      <c r="E388" s="5">
        <v>8.1300000000000008</v>
      </c>
      <c r="F388" s="5">
        <v>7.48</v>
      </c>
      <c r="G388" s="5">
        <f t="shared" si="6"/>
        <v>0.65000000000000036</v>
      </c>
      <c r="H388" s="6">
        <v>594.78890000000001</v>
      </c>
      <c r="I388" s="7">
        <v>445.76998901367102</v>
      </c>
      <c r="J388" s="7">
        <v>12.1537856918023</v>
      </c>
      <c r="K388" s="7">
        <v>0</v>
      </c>
    </row>
    <row r="389" spans="1:11" x14ac:dyDescent="0.3">
      <c r="A389" s="4">
        <v>34425</v>
      </c>
      <c r="B389" s="5">
        <v>3.56</v>
      </c>
      <c r="C389" s="11">
        <v>147.19999999999999</v>
      </c>
      <c r="D389" s="6">
        <v>67.854100000000003</v>
      </c>
      <c r="E389" s="5">
        <v>8.52</v>
      </c>
      <c r="F389" s="5">
        <v>7.88</v>
      </c>
      <c r="G389" s="5">
        <f t="shared" si="6"/>
        <v>0.63999999999999968</v>
      </c>
      <c r="H389" s="6">
        <v>600.40380000000005</v>
      </c>
      <c r="I389" s="7">
        <v>450.91000366210898</v>
      </c>
      <c r="J389" s="7">
        <v>17.430491512135902</v>
      </c>
      <c r="K389" s="7">
        <v>0</v>
      </c>
    </row>
    <row r="390" spans="1:11" x14ac:dyDescent="0.3">
      <c r="A390" s="4">
        <v>34455</v>
      </c>
      <c r="B390" s="5">
        <v>4.01</v>
      </c>
      <c r="C390" s="11">
        <v>147.5</v>
      </c>
      <c r="D390" s="6">
        <v>68.166300000000007</v>
      </c>
      <c r="E390" s="5">
        <v>8.6199999999999992</v>
      </c>
      <c r="F390" s="5">
        <v>7.99</v>
      </c>
      <c r="G390" s="5">
        <f t="shared" si="6"/>
        <v>0.62999999999999901</v>
      </c>
      <c r="H390" s="6">
        <v>604.75120000000004</v>
      </c>
      <c r="I390" s="7">
        <v>456.5</v>
      </c>
      <c r="J390" s="7">
        <v>12.2409145428336</v>
      </c>
      <c r="K390" s="7">
        <v>0</v>
      </c>
    </row>
    <row r="391" spans="1:11" x14ac:dyDescent="0.3">
      <c r="A391" s="4">
        <v>34486</v>
      </c>
      <c r="B391" s="5">
        <v>4.25</v>
      </c>
      <c r="C391" s="11">
        <v>147.9</v>
      </c>
      <c r="D391" s="6">
        <v>68.626499999999993</v>
      </c>
      <c r="E391" s="5">
        <v>8.65</v>
      </c>
      <c r="F391" s="5">
        <v>7.97</v>
      </c>
      <c r="G391" s="5">
        <f t="shared" si="6"/>
        <v>0.6800000000000006</v>
      </c>
      <c r="H391" s="6">
        <v>608.70140000000004</v>
      </c>
      <c r="I391" s="7">
        <v>444.26998901367102</v>
      </c>
      <c r="J391" s="7">
        <v>12.140618024486599</v>
      </c>
      <c r="K391" s="7">
        <v>0</v>
      </c>
    </row>
    <row r="392" spans="1:11" x14ac:dyDescent="0.3">
      <c r="A392" s="4">
        <v>34516</v>
      </c>
      <c r="B392" s="5">
        <v>4.26</v>
      </c>
      <c r="C392" s="11">
        <v>148.4</v>
      </c>
      <c r="D392" s="6">
        <v>68.717799999999997</v>
      </c>
      <c r="E392" s="5">
        <v>8.8000000000000007</v>
      </c>
      <c r="F392" s="5">
        <v>8.11</v>
      </c>
      <c r="G392" s="5">
        <f t="shared" si="6"/>
        <v>0.69000000000000128</v>
      </c>
      <c r="H392" s="6">
        <v>616.57330000000002</v>
      </c>
      <c r="I392" s="7">
        <v>458.260009765625</v>
      </c>
      <c r="J392" s="7">
        <v>7.6745578870416002</v>
      </c>
      <c r="K392" s="7">
        <v>0</v>
      </c>
    </row>
    <row r="393" spans="1:11" x14ac:dyDescent="0.3">
      <c r="A393" s="4">
        <v>34547</v>
      </c>
      <c r="B393" s="5">
        <v>4.47</v>
      </c>
      <c r="C393" s="11">
        <v>149</v>
      </c>
      <c r="D393" s="6">
        <v>69.1785</v>
      </c>
      <c r="E393" s="5">
        <v>8.74</v>
      </c>
      <c r="F393" s="5">
        <v>8.07</v>
      </c>
      <c r="G393" s="5">
        <f t="shared" si="6"/>
        <v>0.66999999999999993</v>
      </c>
      <c r="H393" s="6">
        <v>622.31219999999996</v>
      </c>
      <c r="I393" s="7">
        <v>475.489990234375</v>
      </c>
      <c r="J393" s="7">
        <v>9.5349330205699196</v>
      </c>
      <c r="K393" s="7">
        <v>0</v>
      </c>
    </row>
    <row r="394" spans="1:11" x14ac:dyDescent="0.3">
      <c r="A394" s="4">
        <v>34578</v>
      </c>
      <c r="B394" s="5">
        <v>4.7300000000000004</v>
      </c>
      <c r="C394" s="11">
        <v>149.30000000000001</v>
      </c>
      <c r="D394" s="6">
        <v>69.396100000000004</v>
      </c>
      <c r="E394" s="5">
        <v>8.98</v>
      </c>
      <c r="F394" s="5">
        <v>8.34</v>
      </c>
      <c r="G394" s="5">
        <f t="shared" si="6"/>
        <v>0.64000000000000057</v>
      </c>
      <c r="H394" s="6">
        <v>625.05219999999997</v>
      </c>
      <c r="I394" s="7">
        <v>462.70999145507801</v>
      </c>
      <c r="J394" s="7">
        <v>12.4674197442011</v>
      </c>
      <c r="K394" s="7">
        <v>0</v>
      </c>
    </row>
    <row r="395" spans="1:11" x14ac:dyDescent="0.3">
      <c r="A395" s="4">
        <v>34608</v>
      </c>
      <c r="B395" s="5">
        <v>4.76</v>
      </c>
      <c r="C395" s="11">
        <v>149.4</v>
      </c>
      <c r="D395" s="6">
        <v>69.954400000000007</v>
      </c>
      <c r="E395" s="5">
        <v>9.1999999999999993</v>
      </c>
      <c r="F395" s="5">
        <v>8.57</v>
      </c>
      <c r="G395" s="5">
        <f t="shared" si="6"/>
        <v>0.62999999999999901</v>
      </c>
      <c r="H395" s="6">
        <v>631.61969999999997</v>
      </c>
      <c r="I395" s="7">
        <v>472.350006103515</v>
      </c>
      <c r="J395" s="7">
        <v>15.112843807386501</v>
      </c>
      <c r="K395" s="7">
        <v>0</v>
      </c>
    </row>
    <row r="396" spans="1:11" x14ac:dyDescent="0.3">
      <c r="A396" s="4">
        <v>34639</v>
      </c>
      <c r="B396" s="5">
        <v>5.29</v>
      </c>
      <c r="C396" s="11">
        <v>149.80000000000001</v>
      </c>
      <c r="D396" s="6">
        <v>70.432599999999994</v>
      </c>
      <c r="E396" s="5">
        <v>9.32</v>
      </c>
      <c r="F396" s="5">
        <v>8.68</v>
      </c>
      <c r="G396" s="5">
        <f t="shared" si="6"/>
        <v>0.64000000000000057</v>
      </c>
      <c r="H396" s="6">
        <v>638.46209999999996</v>
      </c>
      <c r="I396" s="7">
        <v>453.69000244140602</v>
      </c>
      <c r="J396" s="7">
        <v>12.4286820405735</v>
      </c>
      <c r="K396" s="7">
        <v>0</v>
      </c>
    </row>
    <row r="397" spans="1:11" x14ac:dyDescent="0.3">
      <c r="A397" s="4">
        <v>34669</v>
      </c>
      <c r="B397" s="5">
        <v>5.45</v>
      </c>
      <c r="C397" s="11">
        <v>150.1</v>
      </c>
      <c r="D397" s="6">
        <v>71.152299999999997</v>
      </c>
      <c r="E397" s="5">
        <v>9.1</v>
      </c>
      <c r="F397" s="5">
        <v>8.4600000000000009</v>
      </c>
      <c r="G397" s="5">
        <f t="shared" si="6"/>
        <v>0.63999999999999879</v>
      </c>
      <c r="H397" s="6">
        <v>643.98789999999997</v>
      </c>
      <c r="I397" s="7">
        <v>459.26998901367102</v>
      </c>
      <c r="J397" s="7">
        <v>11.864382401317901</v>
      </c>
      <c r="K397" s="7">
        <v>0</v>
      </c>
    </row>
    <row r="398" spans="1:11" x14ac:dyDescent="0.3">
      <c r="A398" s="4">
        <v>34700</v>
      </c>
      <c r="B398" s="5">
        <v>5.53</v>
      </c>
      <c r="C398" s="11">
        <v>150.5</v>
      </c>
      <c r="D398" s="6">
        <v>71.273399999999995</v>
      </c>
      <c r="E398" s="5">
        <v>9.08</v>
      </c>
      <c r="F398" s="5">
        <v>8.4600000000000009</v>
      </c>
      <c r="G398" s="5">
        <f t="shared" si="6"/>
        <v>0.61999999999999922</v>
      </c>
      <c r="H398" s="6">
        <v>654.31039999999996</v>
      </c>
      <c r="I398" s="7">
        <v>470.42001342773398</v>
      </c>
      <c r="J398" s="7">
        <v>7.25049755342953</v>
      </c>
      <c r="K398" s="7">
        <v>0</v>
      </c>
    </row>
    <row r="399" spans="1:11" x14ac:dyDescent="0.3">
      <c r="A399" s="4">
        <v>34731</v>
      </c>
      <c r="B399" s="5">
        <v>5.92</v>
      </c>
      <c r="C399" s="11">
        <v>150.9</v>
      </c>
      <c r="D399" s="6">
        <v>71.192999999999998</v>
      </c>
      <c r="E399" s="5">
        <v>8.85</v>
      </c>
      <c r="F399" s="5">
        <v>8.26</v>
      </c>
      <c r="G399" s="5">
        <f t="shared" si="6"/>
        <v>0.58999999999999986</v>
      </c>
      <c r="H399" s="6">
        <v>666.38430000000005</v>
      </c>
      <c r="I399" s="7">
        <v>487.39001464843699</v>
      </c>
      <c r="J399" s="7">
        <v>9.4328941574792005</v>
      </c>
      <c r="K399" s="7">
        <v>0</v>
      </c>
    </row>
    <row r="400" spans="1:11" x14ac:dyDescent="0.3">
      <c r="A400" s="4">
        <v>34759</v>
      </c>
      <c r="B400" s="5">
        <v>5.98</v>
      </c>
      <c r="C400" s="11">
        <v>151.19999999999999</v>
      </c>
      <c r="D400" s="6">
        <v>71.311300000000003</v>
      </c>
      <c r="E400" s="5">
        <v>8.6999999999999993</v>
      </c>
      <c r="F400" s="5">
        <v>8.1199999999999992</v>
      </c>
      <c r="G400" s="5">
        <f t="shared" si="6"/>
        <v>0.58000000000000007</v>
      </c>
      <c r="H400" s="6">
        <v>673.49620000000004</v>
      </c>
      <c r="I400" s="7">
        <v>500.70999145507801</v>
      </c>
      <c r="J400" s="7">
        <v>9.0712227857853094</v>
      </c>
      <c r="K400" s="7">
        <v>0</v>
      </c>
    </row>
    <row r="401" spans="1:11" x14ac:dyDescent="0.3">
      <c r="A401" s="4">
        <v>34790</v>
      </c>
      <c r="B401" s="5">
        <v>6.05</v>
      </c>
      <c r="C401" s="11">
        <v>151.80000000000001</v>
      </c>
      <c r="D401" s="6">
        <v>71.188199999999995</v>
      </c>
      <c r="E401" s="5">
        <v>8.6</v>
      </c>
      <c r="F401" s="5">
        <v>8.0299999999999994</v>
      </c>
      <c r="G401" s="5">
        <f t="shared" si="6"/>
        <v>0.57000000000000028</v>
      </c>
      <c r="H401" s="6">
        <v>677.4348</v>
      </c>
      <c r="I401" s="7">
        <v>514.71002197265602</v>
      </c>
      <c r="J401" s="7">
        <v>6.9514647946800601</v>
      </c>
      <c r="K401" s="7">
        <v>0</v>
      </c>
    </row>
    <row r="402" spans="1:11" x14ac:dyDescent="0.3">
      <c r="A402" s="4">
        <v>34820</v>
      </c>
      <c r="B402" s="5">
        <v>6.01</v>
      </c>
      <c r="C402" s="11">
        <v>152.1</v>
      </c>
      <c r="D402" s="6">
        <v>71.537800000000004</v>
      </c>
      <c r="E402" s="5">
        <v>8.1999999999999993</v>
      </c>
      <c r="F402" s="5">
        <v>7.65</v>
      </c>
      <c r="G402" s="5">
        <f t="shared" si="6"/>
        <v>0.54999999999999893</v>
      </c>
      <c r="H402" s="6">
        <v>686.05139999999994</v>
      </c>
      <c r="I402" s="7">
        <v>533.40002441406205</v>
      </c>
      <c r="J402" s="7">
        <v>13.4858072421925</v>
      </c>
      <c r="K402" s="7">
        <v>0</v>
      </c>
    </row>
    <row r="403" spans="1:11" x14ac:dyDescent="0.3">
      <c r="A403" s="4">
        <v>34851</v>
      </c>
      <c r="B403" s="5">
        <v>6</v>
      </c>
      <c r="C403" s="11">
        <v>152.4</v>
      </c>
      <c r="D403" s="6">
        <v>71.774900000000002</v>
      </c>
      <c r="E403" s="5">
        <v>7.9</v>
      </c>
      <c r="F403" s="5">
        <v>7.3</v>
      </c>
      <c r="G403" s="5">
        <f t="shared" si="6"/>
        <v>0.60000000000000053</v>
      </c>
      <c r="H403" s="6">
        <v>690.38149999999996</v>
      </c>
      <c r="I403" s="7">
        <v>544.75</v>
      </c>
      <c r="J403" s="7">
        <v>11.3710331837553</v>
      </c>
      <c r="K403" s="7">
        <v>0</v>
      </c>
    </row>
    <row r="404" spans="1:11" x14ac:dyDescent="0.3">
      <c r="A404" s="4">
        <v>34881</v>
      </c>
      <c r="B404" s="5">
        <v>5.85</v>
      </c>
      <c r="C404" s="11">
        <v>152.6</v>
      </c>
      <c r="D404" s="6">
        <v>71.474800000000002</v>
      </c>
      <c r="E404" s="5">
        <v>8.0399999999999991</v>
      </c>
      <c r="F404" s="5">
        <v>7.41</v>
      </c>
      <c r="G404" s="5">
        <f t="shared" si="6"/>
        <v>0.62999999999999901</v>
      </c>
      <c r="H404" s="6">
        <v>698.66579999999999</v>
      </c>
      <c r="I404" s="7">
        <v>562.05999755859295</v>
      </c>
      <c r="J404" s="7">
        <v>12.382535108503999</v>
      </c>
      <c r="K404" s="7">
        <v>0</v>
      </c>
    </row>
    <row r="405" spans="1:11" x14ac:dyDescent="0.3">
      <c r="A405" s="4">
        <v>34912</v>
      </c>
      <c r="B405" s="5">
        <v>5.74</v>
      </c>
      <c r="C405" s="11">
        <v>152.9</v>
      </c>
      <c r="D405" s="6">
        <v>72.422300000000007</v>
      </c>
      <c r="E405" s="5">
        <v>8.19</v>
      </c>
      <c r="F405" s="5">
        <v>7.57</v>
      </c>
      <c r="G405" s="5">
        <f t="shared" si="6"/>
        <v>0.61999999999999922</v>
      </c>
      <c r="H405" s="6">
        <v>703.14009999999996</v>
      </c>
      <c r="I405" s="7">
        <v>561.88000488281205</v>
      </c>
      <c r="J405" s="7">
        <v>6.14789171035605</v>
      </c>
      <c r="K405" s="7">
        <v>0</v>
      </c>
    </row>
    <row r="406" spans="1:11" x14ac:dyDescent="0.3">
      <c r="A406" s="4">
        <v>34943</v>
      </c>
      <c r="B406" s="5">
        <v>5.8</v>
      </c>
      <c r="C406" s="11">
        <v>153.1</v>
      </c>
      <c r="D406" s="6">
        <v>72.714399999999998</v>
      </c>
      <c r="E406" s="5">
        <v>7.93</v>
      </c>
      <c r="F406" s="5">
        <v>7.32</v>
      </c>
      <c r="G406" s="5">
        <f t="shared" si="6"/>
        <v>0.60999999999999943</v>
      </c>
      <c r="H406" s="6">
        <v>706.23030000000006</v>
      </c>
      <c r="I406" s="7">
        <v>584.40997314453102</v>
      </c>
      <c r="J406" s="7">
        <v>8.0050045664937599</v>
      </c>
      <c r="K406" s="7">
        <v>0</v>
      </c>
    </row>
    <row r="407" spans="1:11" x14ac:dyDescent="0.3">
      <c r="A407" s="4">
        <v>34973</v>
      </c>
      <c r="B407" s="5">
        <v>5.76</v>
      </c>
      <c r="C407" s="11">
        <v>153.5</v>
      </c>
      <c r="D407" s="6">
        <v>72.586600000000004</v>
      </c>
      <c r="E407" s="5">
        <v>7.75</v>
      </c>
      <c r="F407" s="5">
        <v>7.12</v>
      </c>
      <c r="G407" s="5">
        <f t="shared" si="6"/>
        <v>0.62999999999999989</v>
      </c>
      <c r="H407" s="6">
        <v>706.44510000000002</v>
      </c>
      <c r="I407" s="7">
        <v>581.5</v>
      </c>
      <c r="J407" s="7">
        <v>9.6672591774769394</v>
      </c>
      <c r="K407" s="7">
        <v>0</v>
      </c>
    </row>
    <row r="408" spans="1:11" x14ac:dyDescent="0.3">
      <c r="A408" s="4">
        <v>35004</v>
      </c>
      <c r="B408" s="5">
        <v>5.8</v>
      </c>
      <c r="C408" s="11">
        <v>153.69999999999999</v>
      </c>
      <c r="D408" s="6">
        <v>72.777900000000002</v>
      </c>
      <c r="E408" s="5">
        <v>7.68</v>
      </c>
      <c r="F408" s="5">
        <v>7.02</v>
      </c>
      <c r="G408" s="5">
        <f t="shared" si="6"/>
        <v>0.66000000000000014</v>
      </c>
      <c r="H408" s="6">
        <v>712.70219999999995</v>
      </c>
      <c r="I408" s="7">
        <v>605.36999511718705</v>
      </c>
      <c r="J408" s="7">
        <v>9.6928990186563606</v>
      </c>
      <c r="K408" s="7">
        <v>0</v>
      </c>
    </row>
    <row r="409" spans="1:11" x14ac:dyDescent="0.3">
      <c r="A409" s="4">
        <v>35034</v>
      </c>
      <c r="B409" s="5">
        <v>5.6</v>
      </c>
      <c r="C409" s="11">
        <v>153.9</v>
      </c>
      <c r="D409" s="6">
        <v>73.030500000000004</v>
      </c>
      <c r="E409" s="5">
        <v>7.49</v>
      </c>
      <c r="F409" s="5">
        <v>6.82</v>
      </c>
      <c r="G409" s="5">
        <f t="shared" si="6"/>
        <v>0.66999999999999993</v>
      </c>
      <c r="H409" s="6">
        <v>715.10019999999997</v>
      </c>
      <c r="I409" s="7">
        <v>615.92999267578102</v>
      </c>
      <c r="J409" s="7">
        <v>13.0921424186671</v>
      </c>
      <c r="K409" s="7">
        <v>0</v>
      </c>
    </row>
    <row r="410" spans="1:11" x14ac:dyDescent="0.3">
      <c r="A410" s="4">
        <v>35065</v>
      </c>
      <c r="B410" s="5">
        <v>5.56</v>
      </c>
      <c r="C410" s="11">
        <v>154.69999999999999</v>
      </c>
      <c r="D410" s="6">
        <v>72.612499999999997</v>
      </c>
      <c r="E410" s="5">
        <v>7.47</v>
      </c>
      <c r="F410" s="5">
        <v>6.81</v>
      </c>
      <c r="G410" s="5">
        <f t="shared" si="6"/>
        <v>0.66000000000000014</v>
      </c>
      <c r="H410" s="6">
        <v>721.72979999999995</v>
      </c>
      <c r="I410" s="7">
        <v>636.02001953125</v>
      </c>
      <c r="J410" s="7">
        <v>16.030439908343901</v>
      </c>
      <c r="K410" s="7">
        <v>0</v>
      </c>
    </row>
    <row r="411" spans="1:11" x14ac:dyDescent="0.3">
      <c r="A411" s="4">
        <v>35096</v>
      </c>
      <c r="B411" s="5">
        <v>5.22</v>
      </c>
      <c r="C411" s="11">
        <v>155</v>
      </c>
      <c r="D411" s="6">
        <v>73.675200000000004</v>
      </c>
      <c r="E411" s="5">
        <v>7.63</v>
      </c>
      <c r="F411" s="5">
        <v>6.99</v>
      </c>
      <c r="G411" s="5">
        <f t="shared" si="6"/>
        <v>0.63999999999999968</v>
      </c>
      <c r="H411" s="6">
        <v>723.94500000000005</v>
      </c>
      <c r="I411" s="7">
        <v>640.42999267578102</v>
      </c>
      <c r="J411" s="7">
        <v>16.3617036665878</v>
      </c>
      <c r="K411" s="7">
        <v>0</v>
      </c>
    </row>
    <row r="412" spans="1:11" x14ac:dyDescent="0.3">
      <c r="A412" s="4">
        <v>35125</v>
      </c>
      <c r="B412" s="5">
        <v>5.31</v>
      </c>
      <c r="C412" s="11">
        <v>155.5</v>
      </c>
      <c r="D412" s="6">
        <v>73.584999999999994</v>
      </c>
      <c r="E412" s="5">
        <v>8.0299999999999994</v>
      </c>
      <c r="F412" s="5">
        <v>7.35</v>
      </c>
      <c r="G412" s="5">
        <f t="shared" si="6"/>
        <v>0.67999999999999972</v>
      </c>
      <c r="H412" s="6">
        <v>727.18870000000004</v>
      </c>
      <c r="I412" s="7">
        <v>645.5</v>
      </c>
      <c r="J412" s="7">
        <v>18.840074386296401</v>
      </c>
      <c r="K412" s="7">
        <v>0</v>
      </c>
    </row>
    <row r="413" spans="1:11" x14ac:dyDescent="0.3">
      <c r="A413" s="4">
        <v>35156</v>
      </c>
      <c r="B413" s="5">
        <v>5.22</v>
      </c>
      <c r="C413" s="11">
        <v>156.1</v>
      </c>
      <c r="D413" s="6">
        <v>74.3172</v>
      </c>
      <c r="E413" s="5">
        <v>8.19</v>
      </c>
      <c r="F413" s="5">
        <v>7.5</v>
      </c>
      <c r="G413" s="5">
        <f t="shared" si="6"/>
        <v>0.6899999999999995</v>
      </c>
      <c r="H413" s="6">
        <v>731.98090000000002</v>
      </c>
      <c r="I413" s="7">
        <v>654.16998291015602</v>
      </c>
      <c r="J413" s="7">
        <v>14.037404710824999</v>
      </c>
      <c r="K413" s="7">
        <v>0</v>
      </c>
    </row>
    <row r="414" spans="1:11" x14ac:dyDescent="0.3">
      <c r="A414" s="4">
        <v>35186</v>
      </c>
      <c r="B414" s="5">
        <v>5.24</v>
      </c>
      <c r="C414" s="11">
        <v>156.4</v>
      </c>
      <c r="D414" s="6">
        <v>74.872600000000006</v>
      </c>
      <c r="E414" s="5">
        <v>8.3000000000000007</v>
      </c>
      <c r="F414" s="5">
        <v>7.62</v>
      </c>
      <c r="G414" s="5">
        <f t="shared" si="6"/>
        <v>0.6800000000000006</v>
      </c>
      <c r="H414" s="6">
        <v>736.19809999999995</v>
      </c>
      <c r="I414" s="7">
        <v>669.11999511718705</v>
      </c>
      <c r="J414" s="7">
        <v>14.5413119940019</v>
      </c>
      <c r="K414" s="7">
        <v>0</v>
      </c>
    </row>
    <row r="415" spans="1:11" x14ac:dyDescent="0.3">
      <c r="A415" s="4">
        <v>35217</v>
      </c>
      <c r="B415" s="5">
        <v>5.27</v>
      </c>
      <c r="C415" s="11">
        <v>156.69999999999999</v>
      </c>
      <c r="D415" s="6">
        <v>75.443299999999994</v>
      </c>
      <c r="E415" s="5">
        <v>8.4</v>
      </c>
      <c r="F415" s="5">
        <v>7.71</v>
      </c>
      <c r="G415" s="5">
        <f t="shared" si="6"/>
        <v>0.69000000000000039</v>
      </c>
      <c r="H415" s="6">
        <v>741.30470000000003</v>
      </c>
      <c r="I415" s="7">
        <v>670.63000488281205</v>
      </c>
      <c r="J415" s="7">
        <v>9.1390792440012394</v>
      </c>
      <c r="K415" s="7">
        <v>0</v>
      </c>
    </row>
    <row r="416" spans="1:11" x14ac:dyDescent="0.3">
      <c r="A416" s="4">
        <v>35247</v>
      </c>
      <c r="B416" s="5">
        <v>5.4</v>
      </c>
      <c r="C416" s="11">
        <v>157</v>
      </c>
      <c r="D416" s="6">
        <v>75.454899999999995</v>
      </c>
      <c r="E416" s="5">
        <v>8.35</v>
      </c>
      <c r="F416" s="5">
        <v>7.65</v>
      </c>
      <c r="G416" s="5">
        <f t="shared" si="6"/>
        <v>0.69999999999999929</v>
      </c>
      <c r="H416" s="6">
        <v>745.20410000000004</v>
      </c>
      <c r="I416" s="7">
        <v>639.95001220703102</v>
      </c>
      <c r="J416" s="7">
        <v>20.938968294942001</v>
      </c>
      <c r="K416" s="7">
        <v>1</v>
      </c>
    </row>
    <row r="417" spans="1:11" x14ac:dyDescent="0.3">
      <c r="A417" s="4">
        <v>35278</v>
      </c>
      <c r="B417" s="5">
        <v>5.22</v>
      </c>
      <c r="C417" s="11">
        <v>157.19999999999999</v>
      </c>
      <c r="D417" s="6">
        <v>75.841099999999997</v>
      </c>
      <c r="E417" s="5">
        <v>8.18</v>
      </c>
      <c r="F417" s="5">
        <v>7.46</v>
      </c>
      <c r="G417" s="5">
        <f t="shared" si="6"/>
        <v>0.71999999999999975</v>
      </c>
      <c r="H417" s="6">
        <v>748.19979999999998</v>
      </c>
      <c r="I417" s="7">
        <v>651.989990234375</v>
      </c>
      <c r="J417" s="7">
        <v>14.5087380193089</v>
      </c>
      <c r="K417" s="7">
        <v>0</v>
      </c>
    </row>
    <row r="418" spans="1:11" x14ac:dyDescent="0.3">
      <c r="A418" s="4">
        <v>35309</v>
      </c>
      <c r="B418" s="5">
        <v>5.3</v>
      </c>
      <c r="C418" s="11">
        <v>157.69999999999999</v>
      </c>
      <c r="D418" s="6">
        <v>76.315799999999996</v>
      </c>
      <c r="E418" s="5">
        <v>8.35</v>
      </c>
      <c r="F418" s="5">
        <v>7.66</v>
      </c>
      <c r="G418" s="5">
        <f t="shared" si="6"/>
        <v>0.6899999999999995</v>
      </c>
      <c r="H418" s="6">
        <v>758.82399999999996</v>
      </c>
      <c r="I418" s="7">
        <v>687.33001708984295</v>
      </c>
      <c r="J418" s="7">
        <v>10.7211579227047</v>
      </c>
      <c r="K418" s="7">
        <v>0</v>
      </c>
    </row>
    <row r="419" spans="1:11" x14ac:dyDescent="0.3">
      <c r="A419" s="4">
        <v>35339</v>
      </c>
      <c r="B419" s="5">
        <v>5.24</v>
      </c>
      <c r="C419" s="11">
        <v>158.19999999999999</v>
      </c>
      <c r="D419" s="6">
        <v>76.338399999999993</v>
      </c>
      <c r="E419" s="5">
        <v>8.07</v>
      </c>
      <c r="F419" s="5">
        <v>7.39</v>
      </c>
      <c r="G419" s="5">
        <f t="shared" si="6"/>
        <v>0.6800000000000006</v>
      </c>
      <c r="H419" s="6">
        <v>766.29639999999995</v>
      </c>
      <c r="I419" s="7">
        <v>705.27001953125</v>
      </c>
      <c r="J419" s="7">
        <v>10.254368255456001</v>
      </c>
      <c r="K419" s="7">
        <v>0</v>
      </c>
    </row>
    <row r="420" spans="1:11" x14ac:dyDescent="0.3">
      <c r="A420" s="4">
        <v>35370</v>
      </c>
      <c r="B420" s="5">
        <v>5.31</v>
      </c>
      <c r="C420" s="11">
        <v>158.69999999999999</v>
      </c>
      <c r="D420" s="6">
        <v>77.039699999999996</v>
      </c>
      <c r="E420" s="5">
        <v>7.79</v>
      </c>
      <c r="F420" s="5">
        <v>7.1</v>
      </c>
      <c r="G420" s="5">
        <f t="shared" si="6"/>
        <v>0.69000000000000039</v>
      </c>
      <c r="H420" s="6">
        <v>772.1146</v>
      </c>
      <c r="I420" s="7">
        <v>757.02001953125</v>
      </c>
      <c r="J420" s="7">
        <v>9.7275060868918004</v>
      </c>
      <c r="K420" s="7">
        <v>0</v>
      </c>
    </row>
    <row r="421" spans="1:11" x14ac:dyDescent="0.3">
      <c r="A421" s="4">
        <v>35400</v>
      </c>
      <c r="B421" s="5">
        <v>5.29</v>
      </c>
      <c r="C421" s="11">
        <v>159.1</v>
      </c>
      <c r="D421" s="6">
        <v>77.533299999999997</v>
      </c>
      <c r="E421" s="5">
        <v>7.89</v>
      </c>
      <c r="F421" s="5">
        <v>7.2</v>
      </c>
      <c r="G421" s="5">
        <f t="shared" si="6"/>
        <v>0.6899999999999995</v>
      </c>
      <c r="H421" s="6">
        <v>778.5077</v>
      </c>
      <c r="I421" s="7">
        <v>740.739990234375</v>
      </c>
      <c r="J421" s="7">
        <v>18.444949236427899</v>
      </c>
      <c r="K421" s="7">
        <v>0</v>
      </c>
    </row>
    <row r="422" spans="1:11" x14ac:dyDescent="0.3">
      <c r="A422" s="4">
        <v>35431</v>
      </c>
      <c r="B422" s="5">
        <v>5.25</v>
      </c>
      <c r="C422" s="11">
        <v>159.4</v>
      </c>
      <c r="D422" s="6">
        <v>77.656199999999998</v>
      </c>
      <c r="E422" s="5">
        <v>8.09</v>
      </c>
      <c r="F422" s="5">
        <v>7.42</v>
      </c>
      <c r="G422" s="5">
        <f t="shared" si="6"/>
        <v>0.66999999999999993</v>
      </c>
      <c r="H422" s="6">
        <v>782.1925</v>
      </c>
      <c r="I422" s="7">
        <v>786.15997314453102</v>
      </c>
      <c r="J422" s="7">
        <v>15.112555443700799</v>
      </c>
      <c r="K422" s="7">
        <v>0</v>
      </c>
    </row>
    <row r="423" spans="1:11" x14ac:dyDescent="0.3">
      <c r="A423" s="4">
        <v>35462</v>
      </c>
      <c r="B423" s="5">
        <v>5.19</v>
      </c>
      <c r="C423" s="11">
        <v>159.69999999999999</v>
      </c>
      <c r="D423" s="6">
        <v>78.583299999999994</v>
      </c>
      <c r="E423" s="5">
        <v>7.94</v>
      </c>
      <c r="F423" s="5">
        <v>7.31</v>
      </c>
      <c r="G423" s="5">
        <f t="shared" si="6"/>
        <v>0.63000000000000078</v>
      </c>
      <c r="H423" s="6">
        <v>788.93240000000003</v>
      </c>
      <c r="I423" s="7">
        <v>790.82000732421795</v>
      </c>
      <c r="J423" s="7">
        <v>18.1354488305901</v>
      </c>
      <c r="K423" s="7">
        <v>0</v>
      </c>
    </row>
    <row r="424" spans="1:11" x14ac:dyDescent="0.3">
      <c r="A424" s="4">
        <v>35490</v>
      </c>
      <c r="B424" s="5">
        <v>5.39</v>
      </c>
      <c r="C424" s="11">
        <v>159.80000000000001</v>
      </c>
      <c r="D424" s="6">
        <v>79.081999999999994</v>
      </c>
      <c r="E424" s="5">
        <v>8.18</v>
      </c>
      <c r="F424" s="5">
        <v>7.55</v>
      </c>
      <c r="G424" s="5">
        <f t="shared" si="6"/>
        <v>0.62999999999999989</v>
      </c>
      <c r="H424" s="6">
        <v>795.37819999999999</v>
      </c>
      <c r="I424" s="7">
        <v>757.11999511718705</v>
      </c>
      <c r="J424" s="7">
        <v>20.2273741341528</v>
      </c>
      <c r="K424" s="7">
        <v>0</v>
      </c>
    </row>
    <row r="425" spans="1:11" x14ac:dyDescent="0.3">
      <c r="A425" s="4">
        <v>35521</v>
      </c>
      <c r="B425" s="5">
        <v>5.51</v>
      </c>
      <c r="C425" s="11">
        <v>159.9</v>
      </c>
      <c r="D425" s="6">
        <v>79.174700000000001</v>
      </c>
      <c r="E425" s="5">
        <v>8.34</v>
      </c>
      <c r="F425" s="5">
        <v>7.73</v>
      </c>
      <c r="G425" s="5">
        <f t="shared" si="6"/>
        <v>0.60999999999999943</v>
      </c>
      <c r="H425" s="6">
        <v>803.80420000000004</v>
      </c>
      <c r="I425" s="7">
        <v>801.34002685546795</v>
      </c>
      <c r="J425" s="7">
        <v>23.378609114156799</v>
      </c>
      <c r="K425" s="7">
        <v>1</v>
      </c>
    </row>
    <row r="426" spans="1:11" x14ac:dyDescent="0.3">
      <c r="A426" s="4">
        <v>35551</v>
      </c>
      <c r="B426" s="5">
        <v>5.5</v>
      </c>
      <c r="C426" s="11">
        <v>159.9</v>
      </c>
      <c r="D426" s="6">
        <v>79.613299999999995</v>
      </c>
      <c r="E426" s="5">
        <v>8.1999999999999993</v>
      </c>
      <c r="F426" s="5">
        <v>7.58</v>
      </c>
      <c r="G426" s="5">
        <f t="shared" si="6"/>
        <v>0.61999999999999922</v>
      </c>
      <c r="H426" s="6">
        <v>808.97360000000003</v>
      </c>
      <c r="I426" s="7">
        <v>848.280029296875</v>
      </c>
      <c r="J426" s="7">
        <v>19.2517979755978</v>
      </c>
      <c r="K426" s="7">
        <v>0</v>
      </c>
    </row>
    <row r="427" spans="1:11" x14ac:dyDescent="0.3">
      <c r="A427" s="4">
        <v>35582</v>
      </c>
      <c r="B427" s="5">
        <v>5.56</v>
      </c>
      <c r="C427" s="11">
        <v>160.19999999999999</v>
      </c>
      <c r="D427" s="6">
        <v>79.979200000000006</v>
      </c>
      <c r="E427" s="5">
        <v>8.02</v>
      </c>
      <c r="F427" s="5">
        <v>7.41</v>
      </c>
      <c r="G427" s="5">
        <f t="shared" si="6"/>
        <v>0.60999999999999943</v>
      </c>
      <c r="H427" s="6">
        <v>813.39840000000004</v>
      </c>
      <c r="I427" s="7">
        <v>885.14001464843705</v>
      </c>
      <c r="J427" s="7">
        <v>19.467138542657899</v>
      </c>
      <c r="K427" s="7">
        <v>0</v>
      </c>
    </row>
    <row r="428" spans="1:11" x14ac:dyDescent="0.3">
      <c r="A428" s="4">
        <v>35612</v>
      </c>
      <c r="B428" s="5">
        <v>5.52</v>
      </c>
      <c r="C428" s="11">
        <v>160.4</v>
      </c>
      <c r="D428" s="6">
        <v>80.662400000000005</v>
      </c>
      <c r="E428" s="5">
        <v>7.75</v>
      </c>
      <c r="F428" s="5">
        <v>7.14</v>
      </c>
      <c r="G428" s="5">
        <f t="shared" si="6"/>
        <v>0.61000000000000032</v>
      </c>
      <c r="H428" s="6">
        <v>816.71289999999999</v>
      </c>
      <c r="I428" s="7">
        <v>954.30999755859295</v>
      </c>
      <c r="J428" s="7">
        <v>18.264773128486201</v>
      </c>
      <c r="K428" s="7">
        <v>0</v>
      </c>
    </row>
    <row r="429" spans="1:11" x14ac:dyDescent="0.3">
      <c r="A429" s="4">
        <v>35643</v>
      </c>
      <c r="B429" s="5">
        <v>5.54</v>
      </c>
      <c r="C429" s="11">
        <v>160.80000000000001</v>
      </c>
      <c r="D429" s="6">
        <v>81.469399999999993</v>
      </c>
      <c r="E429" s="5">
        <v>7.82</v>
      </c>
      <c r="F429" s="5">
        <v>7.22</v>
      </c>
      <c r="G429" s="5">
        <f t="shared" si="6"/>
        <v>0.60000000000000053</v>
      </c>
      <c r="H429" s="6">
        <v>822.91570000000002</v>
      </c>
      <c r="I429" s="7">
        <v>899.469970703125</v>
      </c>
      <c r="J429" s="7">
        <v>21.630825194096001</v>
      </c>
      <c r="K429" s="7">
        <v>1</v>
      </c>
    </row>
    <row r="430" spans="1:11" x14ac:dyDescent="0.3">
      <c r="A430" s="4">
        <v>35674</v>
      </c>
      <c r="B430" s="5">
        <v>5.54</v>
      </c>
      <c r="C430" s="11">
        <v>161.19999999999999</v>
      </c>
      <c r="D430" s="6">
        <v>82.215599999999995</v>
      </c>
      <c r="E430" s="5">
        <v>7.7</v>
      </c>
      <c r="F430" s="5">
        <v>7.15</v>
      </c>
      <c r="G430" s="5">
        <f t="shared" si="6"/>
        <v>0.54999999999999982</v>
      </c>
      <c r="H430" s="6">
        <v>830.32569999999998</v>
      </c>
      <c r="I430" s="7">
        <v>947.280029296875</v>
      </c>
      <c r="J430" s="7">
        <v>22.217202628111401</v>
      </c>
      <c r="K430" s="7">
        <v>1</v>
      </c>
    </row>
    <row r="431" spans="1:11" x14ac:dyDescent="0.3">
      <c r="A431" s="4">
        <v>35704</v>
      </c>
      <c r="B431" s="5">
        <v>5.5</v>
      </c>
      <c r="C431" s="11">
        <v>161.5</v>
      </c>
      <c r="D431" s="6">
        <v>82.944599999999994</v>
      </c>
      <c r="E431" s="5">
        <v>7.57</v>
      </c>
      <c r="F431" s="5">
        <v>7</v>
      </c>
      <c r="G431" s="5">
        <f t="shared" si="6"/>
        <v>0.57000000000000028</v>
      </c>
      <c r="H431" s="6">
        <v>834.45860000000005</v>
      </c>
      <c r="I431" s="7">
        <v>914.61999511718705</v>
      </c>
      <c r="J431" s="7">
        <v>41.782733085574698</v>
      </c>
      <c r="K431" s="7">
        <v>1</v>
      </c>
    </row>
    <row r="432" spans="1:11" x14ac:dyDescent="0.3">
      <c r="A432" s="4">
        <v>35735</v>
      </c>
      <c r="B432" s="5">
        <v>5.52</v>
      </c>
      <c r="C432" s="11">
        <v>161.69999999999999</v>
      </c>
      <c r="D432" s="6">
        <v>83.597800000000007</v>
      </c>
      <c r="E432" s="5">
        <v>7.42</v>
      </c>
      <c r="F432" s="5">
        <v>6.87</v>
      </c>
      <c r="G432" s="5">
        <f t="shared" si="6"/>
        <v>0.54999999999999982</v>
      </c>
      <c r="H432" s="6">
        <v>839.89710000000002</v>
      </c>
      <c r="I432" s="7">
        <v>955.40002441406205</v>
      </c>
      <c r="J432" s="7">
        <v>23.864592802677599</v>
      </c>
      <c r="K432" s="7">
        <v>1</v>
      </c>
    </row>
    <row r="433" spans="1:11" x14ac:dyDescent="0.3">
      <c r="A433" s="4">
        <v>35765</v>
      </c>
      <c r="B433" s="5">
        <v>5.5</v>
      </c>
      <c r="C433" s="11">
        <v>161.80000000000001</v>
      </c>
      <c r="D433" s="6">
        <v>83.953800000000001</v>
      </c>
      <c r="E433" s="5">
        <v>7.32</v>
      </c>
      <c r="F433" s="5">
        <v>6.76</v>
      </c>
      <c r="G433" s="5">
        <f t="shared" si="6"/>
        <v>0.5600000000000005</v>
      </c>
      <c r="H433" s="6">
        <v>844.83640000000003</v>
      </c>
      <c r="I433" s="7">
        <v>970.42999267578102</v>
      </c>
      <c r="J433" s="7">
        <v>20.664744498397202</v>
      </c>
      <c r="K433" s="7">
        <v>0</v>
      </c>
    </row>
    <row r="434" spans="1:11" x14ac:dyDescent="0.3">
      <c r="A434" s="4">
        <v>35796</v>
      </c>
      <c r="B434" s="5">
        <v>5.56</v>
      </c>
      <c r="C434" s="11">
        <v>162</v>
      </c>
      <c r="D434" s="6">
        <v>84.321799999999996</v>
      </c>
      <c r="E434" s="5">
        <v>7.19</v>
      </c>
      <c r="F434" s="5">
        <v>6.61</v>
      </c>
      <c r="G434" s="5">
        <f t="shared" si="6"/>
        <v>0.58000000000000007</v>
      </c>
      <c r="H434" s="6">
        <v>855.31529999999998</v>
      </c>
      <c r="I434" s="7">
        <v>980.280029296875</v>
      </c>
      <c r="J434" s="7">
        <v>22.933836527936698</v>
      </c>
      <c r="K434" s="7">
        <v>1</v>
      </c>
    </row>
    <row r="435" spans="1:11" x14ac:dyDescent="0.3">
      <c r="A435" s="4">
        <v>35827</v>
      </c>
      <c r="B435" s="5">
        <v>5.51</v>
      </c>
      <c r="C435" s="11">
        <v>162</v>
      </c>
      <c r="D435" s="6">
        <v>84.458299999999994</v>
      </c>
      <c r="E435" s="5">
        <v>7.25</v>
      </c>
      <c r="F435" s="5">
        <v>6.67</v>
      </c>
      <c r="G435" s="5">
        <f t="shared" si="6"/>
        <v>0.58000000000000007</v>
      </c>
      <c r="H435" s="6">
        <v>862.09739999999999</v>
      </c>
      <c r="I435" s="7">
        <v>1049.33996582031</v>
      </c>
      <c r="J435" s="7">
        <v>13.351136747836</v>
      </c>
      <c r="K435" s="7">
        <v>0</v>
      </c>
    </row>
    <row r="436" spans="1:11" x14ac:dyDescent="0.3">
      <c r="A436" s="4">
        <v>35855</v>
      </c>
      <c r="B436" s="5">
        <v>5.49</v>
      </c>
      <c r="C436" s="11">
        <v>162</v>
      </c>
      <c r="D436" s="6">
        <v>84.488</v>
      </c>
      <c r="E436" s="5">
        <v>7.32</v>
      </c>
      <c r="F436" s="5">
        <v>6.72</v>
      </c>
      <c r="G436" s="5">
        <f t="shared" si="6"/>
        <v>0.60000000000000053</v>
      </c>
      <c r="H436" s="6">
        <v>865.79960000000005</v>
      </c>
      <c r="I436" s="7">
        <v>1101.75</v>
      </c>
      <c r="J436" s="7">
        <v>13.970064004683399</v>
      </c>
      <c r="K436" s="7">
        <v>0</v>
      </c>
    </row>
    <row r="437" spans="1:11" x14ac:dyDescent="0.3">
      <c r="A437" s="4">
        <v>35886</v>
      </c>
      <c r="B437" s="5">
        <v>5.45</v>
      </c>
      <c r="C437" s="11">
        <v>162.19999999999999</v>
      </c>
      <c r="D437" s="6">
        <v>84.777900000000002</v>
      </c>
      <c r="E437" s="5">
        <v>7.33</v>
      </c>
      <c r="F437" s="5">
        <v>6.69</v>
      </c>
      <c r="G437" s="5">
        <f t="shared" si="6"/>
        <v>0.63999999999999968</v>
      </c>
      <c r="H437" s="6">
        <v>864.29880000000003</v>
      </c>
      <c r="I437" s="7">
        <v>1111.75</v>
      </c>
      <c r="J437" s="7">
        <v>18.032858427273901</v>
      </c>
      <c r="K437" s="7">
        <v>0</v>
      </c>
    </row>
    <row r="438" spans="1:11" x14ac:dyDescent="0.3">
      <c r="A438" s="4">
        <v>35916</v>
      </c>
      <c r="B438" s="5">
        <v>5.49</v>
      </c>
      <c r="C438" s="11">
        <v>162.6</v>
      </c>
      <c r="D438" s="6">
        <v>85.336699999999993</v>
      </c>
      <c r="E438" s="5">
        <v>7.3</v>
      </c>
      <c r="F438" s="5">
        <v>6.69</v>
      </c>
      <c r="G438" s="5">
        <f t="shared" si="6"/>
        <v>0.60999999999999943</v>
      </c>
      <c r="H438" s="6">
        <v>875.65179999999998</v>
      </c>
      <c r="I438" s="7">
        <v>1090.81994628906</v>
      </c>
      <c r="J438" s="7">
        <v>14.1451493953767</v>
      </c>
      <c r="K438" s="7">
        <v>0</v>
      </c>
    </row>
    <row r="439" spans="1:11" x14ac:dyDescent="0.3">
      <c r="A439" s="4">
        <v>35947</v>
      </c>
      <c r="B439" s="5">
        <v>5.56</v>
      </c>
      <c r="C439" s="11">
        <v>162.80000000000001</v>
      </c>
      <c r="D439" s="6">
        <v>84.824799999999996</v>
      </c>
      <c r="E439" s="5">
        <v>7.13</v>
      </c>
      <c r="F439" s="5">
        <v>6.53</v>
      </c>
      <c r="G439" s="5">
        <f t="shared" si="6"/>
        <v>0.59999999999999964</v>
      </c>
      <c r="H439" s="6">
        <v>891.15</v>
      </c>
      <c r="I439" s="7">
        <v>1133.83996582031</v>
      </c>
      <c r="J439" s="7">
        <v>19.712615320283199</v>
      </c>
      <c r="K439" s="7">
        <v>0</v>
      </c>
    </row>
    <row r="440" spans="1:11" x14ac:dyDescent="0.3">
      <c r="A440" s="4">
        <v>35977</v>
      </c>
      <c r="B440" s="5">
        <v>5.54</v>
      </c>
      <c r="C440" s="11">
        <v>163.19999999999999</v>
      </c>
      <c r="D440" s="6">
        <v>84.498599999999996</v>
      </c>
      <c r="E440" s="5">
        <v>7.15</v>
      </c>
      <c r="F440" s="5">
        <v>6.55</v>
      </c>
      <c r="G440" s="5">
        <f t="shared" si="6"/>
        <v>0.60000000000000053</v>
      </c>
      <c r="H440" s="6">
        <v>897.86080000000004</v>
      </c>
      <c r="I440" s="7">
        <v>1120.67004394531</v>
      </c>
      <c r="J440" s="7">
        <v>20.7226860733163</v>
      </c>
      <c r="K440" s="7">
        <v>0</v>
      </c>
    </row>
    <row r="441" spans="1:11" x14ac:dyDescent="0.3">
      <c r="A441" s="4">
        <v>36008</v>
      </c>
      <c r="B441" s="5">
        <v>5.55</v>
      </c>
      <c r="C441" s="11">
        <v>163.4</v>
      </c>
      <c r="D441" s="6">
        <v>86.248000000000005</v>
      </c>
      <c r="E441" s="5">
        <v>7.14</v>
      </c>
      <c r="F441" s="5">
        <v>6.52</v>
      </c>
      <c r="G441" s="5">
        <f t="shared" si="6"/>
        <v>0.62000000000000011</v>
      </c>
      <c r="H441" s="6">
        <v>904.35709999999995</v>
      </c>
      <c r="I441" s="7">
        <v>957.280029296875</v>
      </c>
      <c r="J441" s="7">
        <v>41.597023673380399</v>
      </c>
      <c r="K441" s="7">
        <v>1</v>
      </c>
    </row>
    <row r="442" spans="1:11" x14ac:dyDescent="0.3">
      <c r="A442" s="4">
        <v>36039</v>
      </c>
      <c r="B442" s="5">
        <v>5.51</v>
      </c>
      <c r="C442" s="11">
        <v>163.5</v>
      </c>
      <c r="D442" s="6">
        <v>86.202100000000002</v>
      </c>
      <c r="E442" s="5">
        <v>7.09</v>
      </c>
      <c r="F442" s="5">
        <v>6.4</v>
      </c>
      <c r="G442" s="5">
        <f t="shared" si="6"/>
        <v>0.6899999999999995</v>
      </c>
      <c r="H442" s="6">
        <v>912.82989999999995</v>
      </c>
      <c r="I442" s="7">
        <v>1017.01000976562</v>
      </c>
      <c r="J442" s="7">
        <v>44.028698220432503</v>
      </c>
      <c r="K442" s="7">
        <v>1</v>
      </c>
    </row>
    <row r="443" spans="1:11" x14ac:dyDescent="0.3">
      <c r="A443" s="4">
        <v>36069</v>
      </c>
      <c r="B443" s="5">
        <v>5.07</v>
      </c>
      <c r="C443" s="11">
        <v>163.9</v>
      </c>
      <c r="D443" s="6">
        <v>86.791399999999996</v>
      </c>
      <c r="E443" s="5">
        <v>7.18</v>
      </c>
      <c r="F443" s="5">
        <v>6.37</v>
      </c>
      <c r="G443" s="5">
        <f t="shared" si="6"/>
        <v>0.80999999999999961</v>
      </c>
      <c r="H443" s="6">
        <v>932.11059999999998</v>
      </c>
      <c r="I443" s="7">
        <v>1098.67004394531</v>
      </c>
      <c r="J443" s="7">
        <v>30.454915931547799</v>
      </c>
      <c r="K443" s="7">
        <v>1</v>
      </c>
    </row>
    <row r="444" spans="1:11" x14ac:dyDescent="0.3">
      <c r="A444" s="4">
        <v>36100</v>
      </c>
      <c r="B444" s="5">
        <v>4.83</v>
      </c>
      <c r="C444" s="11">
        <v>164.1</v>
      </c>
      <c r="D444" s="6">
        <v>86.7256</v>
      </c>
      <c r="E444" s="5">
        <v>7.34</v>
      </c>
      <c r="F444" s="5">
        <v>6.41</v>
      </c>
      <c r="G444" s="5">
        <f t="shared" si="6"/>
        <v>0.92999999999999972</v>
      </c>
      <c r="H444" s="6">
        <v>942.2355</v>
      </c>
      <c r="I444" s="7">
        <v>1163.63000488281</v>
      </c>
      <c r="J444" s="7">
        <v>19.390816914356598</v>
      </c>
      <c r="K444" s="7">
        <v>0</v>
      </c>
    </row>
    <row r="445" spans="1:11" x14ac:dyDescent="0.3">
      <c r="A445" s="4">
        <v>36130</v>
      </c>
      <c r="B445" s="5">
        <v>4.68</v>
      </c>
      <c r="C445" s="11">
        <v>164.4</v>
      </c>
      <c r="D445" s="6">
        <v>87.118499999999997</v>
      </c>
      <c r="E445" s="5">
        <v>7.23</v>
      </c>
      <c r="F445" s="5">
        <v>6.22</v>
      </c>
      <c r="G445" s="5">
        <f t="shared" si="6"/>
        <v>1.0100000000000007</v>
      </c>
      <c r="H445" s="6">
        <v>938.79089999999997</v>
      </c>
      <c r="I445" s="7">
        <v>1229.22998046875</v>
      </c>
      <c r="J445" s="7">
        <v>24.522648768774701</v>
      </c>
      <c r="K445" s="7">
        <v>1</v>
      </c>
    </row>
    <row r="446" spans="1:11" x14ac:dyDescent="0.3">
      <c r="A446" s="4">
        <v>36161</v>
      </c>
      <c r="B446" s="5">
        <v>4.63</v>
      </c>
      <c r="C446" s="11">
        <v>164.7</v>
      </c>
      <c r="D446" s="6">
        <v>87.494900000000001</v>
      </c>
      <c r="E446" s="5">
        <v>7.29</v>
      </c>
      <c r="F446" s="5">
        <v>6.24</v>
      </c>
      <c r="G446" s="5">
        <f t="shared" si="6"/>
        <v>1.0499999999999998</v>
      </c>
      <c r="H446" s="6">
        <v>937.40629999999999</v>
      </c>
      <c r="I446" s="7">
        <v>1279.64001464843</v>
      </c>
      <c r="J446" s="7">
        <v>26.892132431683201</v>
      </c>
      <c r="K446" s="7">
        <v>1</v>
      </c>
    </row>
    <row r="447" spans="1:11" x14ac:dyDescent="0.3">
      <c r="A447" s="4">
        <v>36192</v>
      </c>
      <c r="B447" s="5">
        <v>4.76</v>
      </c>
      <c r="C447" s="11">
        <v>164.7</v>
      </c>
      <c r="D447" s="6">
        <v>88.027000000000001</v>
      </c>
      <c r="E447" s="5">
        <v>7.39</v>
      </c>
      <c r="F447" s="5">
        <v>6.4</v>
      </c>
      <c r="G447" s="5">
        <f t="shared" si="6"/>
        <v>0.98999999999999932</v>
      </c>
      <c r="H447" s="6">
        <v>935.61720000000003</v>
      </c>
      <c r="I447" s="7">
        <v>1238.32995605468</v>
      </c>
      <c r="J447" s="7">
        <v>27.677353111471302</v>
      </c>
      <c r="K447" s="7">
        <v>1</v>
      </c>
    </row>
    <row r="448" spans="1:11" x14ac:dyDescent="0.3">
      <c r="A448" s="4">
        <v>36220</v>
      </c>
      <c r="B448" s="5">
        <v>4.8099999999999996</v>
      </c>
      <c r="C448" s="11">
        <v>164.8</v>
      </c>
      <c r="D448" s="6">
        <v>88.226699999999994</v>
      </c>
      <c r="E448" s="5">
        <v>7.53</v>
      </c>
      <c r="F448" s="5">
        <v>6.62</v>
      </c>
      <c r="G448" s="5">
        <f t="shared" si="6"/>
        <v>0.91000000000000014</v>
      </c>
      <c r="H448" s="6">
        <v>944.23630000000003</v>
      </c>
      <c r="I448" s="7">
        <v>1286.36999511718</v>
      </c>
      <c r="J448" s="7">
        <v>23.986694773895099</v>
      </c>
      <c r="K448" s="7">
        <v>1</v>
      </c>
    </row>
    <row r="449" spans="1:11" x14ac:dyDescent="0.3">
      <c r="A449" s="4">
        <v>36251</v>
      </c>
      <c r="B449" s="5">
        <v>4.74</v>
      </c>
      <c r="C449" s="11">
        <v>165.9</v>
      </c>
      <c r="D449" s="6">
        <v>88.429500000000004</v>
      </c>
      <c r="E449" s="5">
        <v>7.48</v>
      </c>
      <c r="F449" s="5">
        <v>6.64</v>
      </c>
      <c r="G449" s="5">
        <f t="shared" si="6"/>
        <v>0.84000000000000075</v>
      </c>
      <c r="H449" s="6">
        <v>947.18709999999999</v>
      </c>
      <c r="I449" s="7">
        <v>1335.18005371093</v>
      </c>
      <c r="J449" s="7">
        <v>23.0917211582648</v>
      </c>
      <c r="K449" s="7">
        <v>1</v>
      </c>
    </row>
    <row r="450" spans="1:11" x14ac:dyDescent="0.3">
      <c r="A450" s="4">
        <v>36281</v>
      </c>
      <c r="B450" s="5">
        <v>4.74</v>
      </c>
      <c r="C450" s="11">
        <v>166</v>
      </c>
      <c r="D450" s="6">
        <v>88.988600000000005</v>
      </c>
      <c r="E450" s="5">
        <v>7.72</v>
      </c>
      <c r="F450" s="5">
        <v>6.93</v>
      </c>
      <c r="G450" s="5">
        <f t="shared" si="6"/>
        <v>0.79</v>
      </c>
      <c r="H450" s="6">
        <v>942.08069999999998</v>
      </c>
      <c r="I450" s="7">
        <v>1301.83996582031</v>
      </c>
      <c r="J450" s="7">
        <v>25.5259605846285</v>
      </c>
      <c r="K450" s="7">
        <v>1</v>
      </c>
    </row>
    <row r="451" spans="1:11" x14ac:dyDescent="0.3">
      <c r="A451" s="4">
        <v>36312</v>
      </c>
      <c r="B451" s="5">
        <v>4.76</v>
      </c>
      <c r="C451" s="11">
        <v>166</v>
      </c>
      <c r="D451" s="6">
        <v>88.918800000000005</v>
      </c>
      <c r="E451" s="5">
        <v>8.02</v>
      </c>
      <c r="F451" s="5">
        <v>7.23</v>
      </c>
      <c r="G451" s="5">
        <f t="shared" ref="G451:G514" si="7">E451-F451</f>
        <v>0.78999999999999915</v>
      </c>
      <c r="H451" s="6">
        <v>949.80250000000001</v>
      </c>
      <c r="I451" s="7">
        <v>1372.7099609375</v>
      </c>
      <c r="J451" s="7">
        <v>20.817581934763201</v>
      </c>
      <c r="K451" s="7">
        <v>1</v>
      </c>
    </row>
    <row r="452" spans="1:11" x14ac:dyDescent="0.3">
      <c r="A452" s="4">
        <v>36342</v>
      </c>
      <c r="B452" s="5">
        <v>4.99</v>
      </c>
      <c r="C452" s="11">
        <v>166.7</v>
      </c>
      <c r="D452" s="6">
        <v>89.433300000000003</v>
      </c>
      <c r="E452" s="5">
        <v>7.95</v>
      </c>
      <c r="F452" s="5">
        <v>7.19</v>
      </c>
      <c r="G452" s="5">
        <f t="shared" si="7"/>
        <v>0.75999999999999979</v>
      </c>
      <c r="H452" s="6">
        <v>958.63819999999998</v>
      </c>
      <c r="I452" s="7">
        <v>1328.71997070312</v>
      </c>
      <c r="J452" s="7">
        <v>17.830200127160101</v>
      </c>
      <c r="K452" s="7">
        <v>0</v>
      </c>
    </row>
    <row r="453" spans="1:11" x14ac:dyDescent="0.3">
      <c r="A453" s="4">
        <v>36373</v>
      </c>
      <c r="B453" s="5">
        <v>5.07</v>
      </c>
      <c r="C453" s="11">
        <v>167.1</v>
      </c>
      <c r="D453" s="6">
        <v>89.792400000000001</v>
      </c>
      <c r="E453" s="5">
        <v>8.15</v>
      </c>
      <c r="F453" s="5">
        <v>7.4</v>
      </c>
      <c r="G453" s="5">
        <f t="shared" si="7"/>
        <v>0.75</v>
      </c>
      <c r="H453" s="6">
        <v>969.38070000000005</v>
      </c>
      <c r="I453" s="7">
        <v>1320.41003417968</v>
      </c>
      <c r="J453" s="7">
        <v>22.841998538005601</v>
      </c>
      <c r="K453" s="7">
        <v>1</v>
      </c>
    </row>
    <row r="454" spans="1:11" x14ac:dyDescent="0.3">
      <c r="A454" s="4">
        <v>36404</v>
      </c>
      <c r="B454" s="5">
        <v>5.22</v>
      </c>
      <c r="C454" s="11">
        <v>167.8</v>
      </c>
      <c r="D454" s="6">
        <v>89.429900000000004</v>
      </c>
      <c r="E454" s="5">
        <v>8.1999999999999993</v>
      </c>
      <c r="F454" s="5">
        <v>7.39</v>
      </c>
      <c r="G454" s="5">
        <f t="shared" si="7"/>
        <v>0.80999999999999961</v>
      </c>
      <c r="H454" s="6">
        <v>975.63990000000001</v>
      </c>
      <c r="I454" s="7">
        <v>1282.7099609375</v>
      </c>
      <c r="J454" s="7">
        <v>23.170462266862302</v>
      </c>
      <c r="K454" s="7">
        <v>1</v>
      </c>
    </row>
    <row r="455" spans="1:11" x14ac:dyDescent="0.3">
      <c r="A455" s="4">
        <v>36434</v>
      </c>
      <c r="B455" s="5">
        <v>5.2</v>
      </c>
      <c r="C455" s="11">
        <v>168.1</v>
      </c>
      <c r="D455" s="6">
        <v>90.522999999999996</v>
      </c>
      <c r="E455" s="5">
        <v>8.3800000000000008</v>
      </c>
      <c r="F455" s="5">
        <v>7.55</v>
      </c>
      <c r="G455" s="5">
        <f t="shared" si="7"/>
        <v>0.83000000000000096</v>
      </c>
      <c r="H455" s="6">
        <v>979.09829999999999</v>
      </c>
      <c r="I455" s="7">
        <v>1362.93005371093</v>
      </c>
      <c r="J455" s="7">
        <v>30.655617184514298</v>
      </c>
      <c r="K455" s="7">
        <v>1</v>
      </c>
    </row>
    <row r="456" spans="1:11" x14ac:dyDescent="0.3">
      <c r="A456" s="4">
        <v>36465</v>
      </c>
      <c r="B456" s="5">
        <v>5.42</v>
      </c>
      <c r="C456" s="11">
        <v>168.4</v>
      </c>
      <c r="D456" s="6">
        <v>90.961799999999997</v>
      </c>
      <c r="E456" s="5">
        <v>8.15</v>
      </c>
      <c r="F456" s="5">
        <v>7.36</v>
      </c>
      <c r="G456" s="5">
        <f t="shared" si="7"/>
        <v>0.79</v>
      </c>
      <c r="H456" s="6">
        <v>1000.2986</v>
      </c>
      <c r="I456" s="7">
        <v>1388.91003417968</v>
      </c>
      <c r="J456" s="7">
        <v>16.387994923908199</v>
      </c>
      <c r="K456" s="7">
        <v>0</v>
      </c>
    </row>
    <row r="457" spans="1:11" x14ac:dyDescent="0.3">
      <c r="A457" s="4">
        <v>36495</v>
      </c>
      <c r="B457" s="5">
        <v>5.3</v>
      </c>
      <c r="C457" s="11">
        <v>168.8</v>
      </c>
      <c r="D457" s="6">
        <v>91.663399999999996</v>
      </c>
      <c r="E457" s="5">
        <v>8.19</v>
      </c>
      <c r="F457" s="5">
        <v>7.55</v>
      </c>
      <c r="G457" s="5">
        <f t="shared" si="7"/>
        <v>0.63999999999999968</v>
      </c>
      <c r="H457" s="6">
        <v>1000.6226</v>
      </c>
      <c r="I457" s="7">
        <v>1469.25</v>
      </c>
      <c r="J457" s="7">
        <v>13.8227531063587</v>
      </c>
      <c r="K457" s="7">
        <v>0</v>
      </c>
    </row>
    <row r="458" spans="1:11" x14ac:dyDescent="0.3">
      <c r="A458" s="4">
        <v>36526</v>
      </c>
      <c r="B458" s="5">
        <v>5.45</v>
      </c>
      <c r="C458" s="11">
        <v>169.3</v>
      </c>
      <c r="D458" s="6">
        <v>91.537999999999997</v>
      </c>
      <c r="E458" s="5">
        <v>8.33</v>
      </c>
      <c r="F458" s="5">
        <v>7.78</v>
      </c>
      <c r="G458" s="5">
        <f t="shared" si="7"/>
        <v>0.54999999999999982</v>
      </c>
      <c r="H458" s="6">
        <v>1003.1482</v>
      </c>
      <c r="I458" s="7">
        <v>1394.4599609375</v>
      </c>
      <c r="J458" s="7">
        <v>33.005134564232499</v>
      </c>
      <c r="K458" s="7">
        <v>1</v>
      </c>
    </row>
    <row r="459" spans="1:11" x14ac:dyDescent="0.3">
      <c r="A459" s="4">
        <v>36557</v>
      </c>
      <c r="B459" s="5">
        <v>5.73</v>
      </c>
      <c r="C459" s="11">
        <v>170</v>
      </c>
      <c r="D459" s="6">
        <v>91.823899999999995</v>
      </c>
      <c r="E459" s="5">
        <v>8.2899999999999991</v>
      </c>
      <c r="F459" s="5">
        <v>7.68</v>
      </c>
      <c r="G459" s="5">
        <f t="shared" si="7"/>
        <v>0.60999999999999943</v>
      </c>
      <c r="H459" s="6">
        <v>1016.2395</v>
      </c>
      <c r="I459" s="7">
        <v>1366.42004394531</v>
      </c>
      <c r="J459" s="7">
        <v>25.319142767702399</v>
      </c>
      <c r="K459" s="7">
        <v>1</v>
      </c>
    </row>
    <row r="460" spans="1:11" x14ac:dyDescent="0.3">
      <c r="A460" s="4">
        <v>36586</v>
      </c>
      <c r="B460" s="5">
        <v>5.85</v>
      </c>
      <c r="C460" s="11">
        <v>171</v>
      </c>
      <c r="D460" s="6">
        <v>92.150400000000005</v>
      </c>
      <c r="E460" s="5">
        <v>8.3699999999999992</v>
      </c>
      <c r="F460" s="5">
        <v>7.68</v>
      </c>
      <c r="G460" s="5">
        <f t="shared" si="7"/>
        <v>0.6899999999999995</v>
      </c>
      <c r="H460" s="6">
        <v>1026.2416000000001</v>
      </c>
      <c r="I460" s="7">
        <v>1498.57995605468</v>
      </c>
      <c r="J460" s="7">
        <v>33.625892024791803</v>
      </c>
      <c r="K460" s="7">
        <v>1</v>
      </c>
    </row>
    <row r="461" spans="1:11" x14ac:dyDescent="0.3">
      <c r="A461" s="4">
        <v>36617</v>
      </c>
      <c r="B461" s="5">
        <v>6.02</v>
      </c>
      <c r="C461" s="11">
        <v>170.9</v>
      </c>
      <c r="D461" s="6">
        <v>92.698899999999995</v>
      </c>
      <c r="E461" s="5">
        <v>8.4</v>
      </c>
      <c r="F461" s="5">
        <v>7.64</v>
      </c>
      <c r="G461" s="5">
        <f t="shared" si="7"/>
        <v>0.76000000000000068</v>
      </c>
      <c r="H461" s="6">
        <v>1035.2058</v>
      </c>
      <c r="I461" s="7">
        <v>1452.43005371093</v>
      </c>
      <c r="J461" s="7">
        <v>42.388520624784597</v>
      </c>
      <c r="K461" s="7">
        <v>1</v>
      </c>
    </row>
    <row r="462" spans="1:11" x14ac:dyDescent="0.3">
      <c r="A462" s="4">
        <v>36647</v>
      </c>
      <c r="B462" s="5">
        <v>6.27</v>
      </c>
      <c r="C462" s="11">
        <v>171.2</v>
      </c>
      <c r="D462" s="6">
        <v>92.9499</v>
      </c>
      <c r="E462" s="5">
        <v>8.9</v>
      </c>
      <c r="F462" s="5">
        <v>7.99</v>
      </c>
      <c r="G462" s="5">
        <f t="shared" si="7"/>
        <v>0.91000000000000014</v>
      </c>
      <c r="H462" s="6">
        <v>1051.7891</v>
      </c>
      <c r="I462" s="7">
        <v>1420.59997558593</v>
      </c>
      <c r="J462" s="7">
        <v>31.424886233114901</v>
      </c>
      <c r="K462" s="7">
        <v>1</v>
      </c>
    </row>
    <row r="463" spans="1:11" x14ac:dyDescent="0.3">
      <c r="A463" s="4">
        <v>36678</v>
      </c>
      <c r="B463" s="5">
        <v>6.53</v>
      </c>
      <c r="C463" s="11">
        <v>172.2</v>
      </c>
      <c r="D463" s="6">
        <v>92.986199999999997</v>
      </c>
      <c r="E463" s="5">
        <v>8.48</v>
      </c>
      <c r="F463" s="5">
        <v>7.67</v>
      </c>
      <c r="G463" s="5">
        <f t="shared" si="7"/>
        <v>0.8100000000000005</v>
      </c>
      <c r="H463" s="6">
        <v>1062.7574</v>
      </c>
      <c r="I463" s="7">
        <v>1454.59997558593</v>
      </c>
      <c r="J463" s="7">
        <v>21.0970123938367</v>
      </c>
      <c r="K463" s="7">
        <v>1</v>
      </c>
    </row>
    <row r="464" spans="1:11" x14ac:dyDescent="0.3">
      <c r="A464" s="4">
        <v>36708</v>
      </c>
      <c r="B464" s="5">
        <v>6.54</v>
      </c>
      <c r="C464" s="11">
        <v>172.7</v>
      </c>
      <c r="D464" s="6">
        <v>92.8048</v>
      </c>
      <c r="E464" s="5">
        <v>8.35</v>
      </c>
      <c r="F464" s="5">
        <v>7.65</v>
      </c>
      <c r="G464" s="5">
        <f t="shared" si="7"/>
        <v>0.69999999999999929</v>
      </c>
      <c r="H464" s="6">
        <v>1068.6388999999999</v>
      </c>
      <c r="I464" s="7">
        <v>1430.82995605468</v>
      </c>
      <c r="J464" s="7">
        <v>20.925996657154201</v>
      </c>
      <c r="K464" s="7">
        <v>1</v>
      </c>
    </row>
    <row r="465" spans="1:11" x14ac:dyDescent="0.3">
      <c r="A465" s="4">
        <v>36739</v>
      </c>
      <c r="B465" s="5">
        <v>6.5</v>
      </c>
      <c r="C465" s="11">
        <v>172.7</v>
      </c>
      <c r="D465" s="6">
        <v>92.552099999999996</v>
      </c>
      <c r="E465" s="5">
        <v>8.26</v>
      </c>
      <c r="F465" s="5">
        <v>7.55</v>
      </c>
      <c r="G465" s="5">
        <f t="shared" si="7"/>
        <v>0.71</v>
      </c>
      <c r="H465" s="6">
        <v>1071.8339000000001</v>
      </c>
      <c r="I465" s="7">
        <v>1517.68005371093</v>
      </c>
      <c r="J465" s="7">
        <v>12.705027538612701</v>
      </c>
      <c r="K465" s="7">
        <v>0</v>
      </c>
    </row>
    <row r="466" spans="1:11" x14ac:dyDescent="0.3">
      <c r="A466" s="4">
        <v>36770</v>
      </c>
      <c r="B466" s="5">
        <v>6.52</v>
      </c>
      <c r="C466" s="11">
        <v>173.6</v>
      </c>
      <c r="D466" s="6">
        <v>92.979200000000006</v>
      </c>
      <c r="E466" s="5">
        <v>8.35</v>
      </c>
      <c r="F466" s="5">
        <v>7.62</v>
      </c>
      <c r="G466" s="5">
        <f t="shared" si="7"/>
        <v>0.72999999999999954</v>
      </c>
      <c r="H466" s="6">
        <v>1073.3289</v>
      </c>
      <c r="I466" s="7">
        <v>1436.51000976562</v>
      </c>
      <c r="J466" s="7">
        <v>17.521216390209599</v>
      </c>
      <c r="K466" s="7">
        <v>0</v>
      </c>
    </row>
    <row r="467" spans="1:11" x14ac:dyDescent="0.3">
      <c r="A467" s="4">
        <v>36800</v>
      </c>
      <c r="B467" s="5">
        <v>6.51</v>
      </c>
      <c r="C467" s="11">
        <v>173.9</v>
      </c>
      <c r="D467" s="6">
        <v>92.617900000000006</v>
      </c>
      <c r="E467" s="5">
        <v>8.34</v>
      </c>
      <c r="F467" s="5">
        <v>7.55</v>
      </c>
      <c r="G467" s="5">
        <f t="shared" si="7"/>
        <v>0.79</v>
      </c>
      <c r="H467" s="6">
        <v>1078.8326</v>
      </c>
      <c r="I467" s="7">
        <v>1429.40002441406</v>
      </c>
      <c r="J467" s="7">
        <v>32.563880581823497</v>
      </c>
      <c r="K467" s="7">
        <v>1</v>
      </c>
    </row>
    <row r="468" spans="1:11" x14ac:dyDescent="0.3">
      <c r="A468" s="4">
        <v>36831</v>
      </c>
      <c r="B468" s="5">
        <v>6.51</v>
      </c>
      <c r="C468" s="11">
        <v>174.2</v>
      </c>
      <c r="D468" s="6">
        <v>92.643799999999999</v>
      </c>
      <c r="E468" s="5">
        <v>8.2799999999999994</v>
      </c>
      <c r="F468" s="5">
        <v>7.45</v>
      </c>
      <c r="G468" s="5">
        <f t="shared" si="7"/>
        <v>0.82999999999999918</v>
      </c>
      <c r="H468" s="6">
        <v>1080.5634</v>
      </c>
      <c r="I468" s="7">
        <v>1314.94995117187</v>
      </c>
      <c r="J468" s="7">
        <v>24.4599111242816</v>
      </c>
      <c r="K468" s="7">
        <v>1</v>
      </c>
    </row>
    <row r="469" spans="1:11" x14ac:dyDescent="0.3">
      <c r="A469" s="4">
        <v>36861</v>
      </c>
      <c r="B469" s="5">
        <v>6.4</v>
      </c>
      <c r="C469" s="11">
        <v>174.6</v>
      </c>
      <c r="D469" s="6">
        <v>92.341499999999996</v>
      </c>
      <c r="E469" s="5">
        <v>8.02</v>
      </c>
      <c r="F469" s="5">
        <v>7.21</v>
      </c>
      <c r="G469" s="5">
        <f t="shared" si="7"/>
        <v>0.80999999999999961</v>
      </c>
      <c r="H469" s="6">
        <v>1084.8969</v>
      </c>
      <c r="I469" s="7">
        <v>1320.28002929687</v>
      </c>
      <c r="J469" s="7">
        <v>33.437442047633297</v>
      </c>
      <c r="K469" s="7">
        <v>1</v>
      </c>
    </row>
    <row r="470" spans="1:11" x14ac:dyDescent="0.3">
      <c r="A470" s="4">
        <v>36892</v>
      </c>
      <c r="B470" s="5">
        <v>5.98</v>
      </c>
      <c r="C470" s="11">
        <v>175.6</v>
      </c>
      <c r="D470" s="6">
        <v>91.902000000000001</v>
      </c>
      <c r="E470" s="5">
        <v>7.93</v>
      </c>
      <c r="F470" s="5">
        <v>7.15</v>
      </c>
      <c r="G470" s="5">
        <f t="shared" si="7"/>
        <v>0.77999999999999936</v>
      </c>
      <c r="H470" s="6">
        <v>1093.6156000000001</v>
      </c>
      <c r="I470" s="7">
        <v>1366.01000976562</v>
      </c>
      <c r="J470" s="7">
        <v>31.089048649571101</v>
      </c>
      <c r="K470" s="7">
        <v>1</v>
      </c>
    </row>
    <row r="471" spans="1:11" x14ac:dyDescent="0.3">
      <c r="A471" s="4">
        <v>36923</v>
      </c>
      <c r="B471" s="5">
        <v>5.49</v>
      </c>
      <c r="C471" s="11">
        <v>176</v>
      </c>
      <c r="D471" s="6">
        <v>91.303399999999996</v>
      </c>
      <c r="E471" s="5">
        <v>7.87</v>
      </c>
      <c r="F471" s="5">
        <v>7.1</v>
      </c>
      <c r="G471" s="5">
        <f t="shared" si="7"/>
        <v>0.77000000000000046</v>
      </c>
      <c r="H471" s="6">
        <v>1093.8498</v>
      </c>
      <c r="I471" s="7">
        <v>1239.93994140625</v>
      </c>
      <c r="J471" s="7">
        <v>21.4705251981439</v>
      </c>
      <c r="K471" s="7">
        <v>1</v>
      </c>
    </row>
    <row r="472" spans="1:11" x14ac:dyDescent="0.3">
      <c r="A472" s="4">
        <v>36951</v>
      </c>
      <c r="B472" s="5">
        <v>5.31</v>
      </c>
      <c r="C472" s="11">
        <v>176.1</v>
      </c>
      <c r="D472" s="6">
        <v>91.116200000000006</v>
      </c>
      <c r="E472" s="5">
        <v>7.84</v>
      </c>
      <c r="F472" s="5">
        <v>6.98</v>
      </c>
      <c r="G472" s="5">
        <f t="shared" si="7"/>
        <v>0.85999999999999943</v>
      </c>
      <c r="H472" s="6">
        <v>1092.1973</v>
      </c>
      <c r="I472" s="7">
        <v>1160.32995605468</v>
      </c>
      <c r="J472" s="7">
        <v>36.816069625667701</v>
      </c>
      <c r="K472" s="7">
        <v>1</v>
      </c>
    </row>
    <row r="473" spans="1:11" x14ac:dyDescent="0.3">
      <c r="A473" s="4">
        <v>36982</v>
      </c>
      <c r="B473" s="5">
        <v>4.8</v>
      </c>
      <c r="C473" s="11">
        <v>176.4</v>
      </c>
      <c r="D473" s="6">
        <v>90.789100000000005</v>
      </c>
      <c r="E473" s="5">
        <v>8.07</v>
      </c>
      <c r="F473" s="5">
        <v>7.2</v>
      </c>
      <c r="G473" s="5">
        <f t="shared" si="7"/>
        <v>0.87000000000000011</v>
      </c>
      <c r="H473" s="6">
        <v>1089.2748999999999</v>
      </c>
      <c r="I473" s="7">
        <v>1249.4599609375</v>
      </c>
      <c r="J473" s="7">
        <v>38.6419084755318</v>
      </c>
      <c r="K473" s="7">
        <v>1</v>
      </c>
    </row>
    <row r="474" spans="1:11" x14ac:dyDescent="0.3">
      <c r="A474" s="4">
        <v>37012</v>
      </c>
      <c r="B474" s="5">
        <v>4.21</v>
      </c>
      <c r="C474" s="11">
        <v>177.3</v>
      </c>
      <c r="D474" s="6">
        <v>90.355500000000006</v>
      </c>
      <c r="E474" s="5">
        <v>8.07</v>
      </c>
      <c r="F474" s="5">
        <v>7.29</v>
      </c>
      <c r="G474" s="5">
        <f t="shared" si="7"/>
        <v>0.78000000000000025</v>
      </c>
      <c r="H474" s="6">
        <v>1083.9579000000001</v>
      </c>
      <c r="I474" s="7">
        <v>1255.81994628906</v>
      </c>
      <c r="J474" s="7">
        <v>21.9760074940598</v>
      </c>
      <c r="K474" s="7">
        <v>1</v>
      </c>
    </row>
    <row r="475" spans="1:11" x14ac:dyDescent="0.3">
      <c r="A475" s="4">
        <v>37043</v>
      </c>
      <c r="B475" s="5">
        <v>3.97</v>
      </c>
      <c r="C475" s="11">
        <v>177.7</v>
      </c>
      <c r="D475" s="6">
        <v>89.878399999999999</v>
      </c>
      <c r="E475" s="5">
        <v>7.97</v>
      </c>
      <c r="F475" s="5">
        <v>7.18</v>
      </c>
      <c r="G475" s="5">
        <f t="shared" si="7"/>
        <v>0.79</v>
      </c>
      <c r="H475" s="6">
        <v>1071.9119000000001</v>
      </c>
      <c r="I475" s="7">
        <v>1224.38000488281</v>
      </c>
      <c r="J475" s="7">
        <v>17.281948289089399</v>
      </c>
      <c r="K475" s="7">
        <v>0</v>
      </c>
    </row>
    <row r="476" spans="1:11" x14ac:dyDescent="0.3">
      <c r="A476" s="4">
        <v>37073</v>
      </c>
      <c r="B476" s="5">
        <v>3.77</v>
      </c>
      <c r="C476" s="11">
        <v>177.4</v>
      </c>
      <c r="D476" s="6">
        <v>89.302800000000005</v>
      </c>
      <c r="E476" s="5">
        <v>7.97</v>
      </c>
      <c r="F476" s="5">
        <v>7.13</v>
      </c>
      <c r="G476" s="5">
        <f t="shared" si="7"/>
        <v>0.83999999999999986</v>
      </c>
      <c r="H476" s="6">
        <v>1063.9525000000001</v>
      </c>
      <c r="I476" s="7">
        <v>1211.22998046875</v>
      </c>
      <c r="J476" s="7">
        <v>24.1834007591338</v>
      </c>
      <c r="K476" s="7">
        <v>1</v>
      </c>
    </row>
    <row r="477" spans="1:11" x14ac:dyDescent="0.3">
      <c r="A477" s="4">
        <v>37104</v>
      </c>
      <c r="B477" s="5">
        <v>3.65</v>
      </c>
      <c r="C477" s="11">
        <v>177.4</v>
      </c>
      <c r="D477" s="6">
        <v>89.200299999999999</v>
      </c>
      <c r="E477" s="5">
        <v>7.85</v>
      </c>
      <c r="F477" s="5">
        <v>7.02</v>
      </c>
      <c r="G477" s="5">
        <f t="shared" si="7"/>
        <v>0.83000000000000007</v>
      </c>
      <c r="H477" s="6">
        <v>1055.8851</v>
      </c>
      <c r="I477" s="7">
        <v>1133.57995605468</v>
      </c>
      <c r="J477" s="7">
        <v>19.3569807877501</v>
      </c>
      <c r="K477" s="7">
        <v>0</v>
      </c>
    </row>
    <row r="478" spans="1:11" x14ac:dyDescent="0.3">
      <c r="A478" s="4">
        <v>37135</v>
      </c>
      <c r="B478" s="5">
        <v>3.07</v>
      </c>
      <c r="C478" s="11">
        <v>178.1</v>
      </c>
      <c r="D478" s="6">
        <v>88.748500000000007</v>
      </c>
      <c r="E478" s="5">
        <v>8.0299999999999994</v>
      </c>
      <c r="F478" s="5">
        <v>7.17</v>
      </c>
      <c r="G478" s="5">
        <f t="shared" si="7"/>
        <v>0.85999999999999943</v>
      </c>
      <c r="H478" s="6">
        <v>1059.5264999999999</v>
      </c>
      <c r="I478" s="7">
        <v>1040.93994140625</v>
      </c>
      <c r="J478" s="7">
        <v>44.239034384528402</v>
      </c>
      <c r="K478" s="7">
        <v>1</v>
      </c>
    </row>
    <row r="479" spans="1:11" x14ac:dyDescent="0.3">
      <c r="A479" s="4">
        <v>37165</v>
      </c>
      <c r="B479" s="5">
        <v>2.4900000000000002</v>
      </c>
      <c r="C479" s="11">
        <v>177.6</v>
      </c>
      <c r="D479" s="6">
        <v>88.505200000000002</v>
      </c>
      <c r="E479" s="5">
        <v>7.91</v>
      </c>
      <c r="F479" s="5">
        <v>7.03</v>
      </c>
      <c r="G479" s="5">
        <f t="shared" si="7"/>
        <v>0.87999999999999989</v>
      </c>
      <c r="H479" s="6">
        <v>1045.2523000000001</v>
      </c>
      <c r="I479" s="7">
        <v>1059.78002929687</v>
      </c>
      <c r="J479" s="7">
        <v>24.3302767167696</v>
      </c>
      <c r="K479" s="7">
        <v>1</v>
      </c>
    </row>
    <row r="480" spans="1:11" x14ac:dyDescent="0.3">
      <c r="A480" s="4">
        <v>37196</v>
      </c>
      <c r="B480" s="5">
        <v>2.09</v>
      </c>
      <c r="C480" s="11">
        <v>177.5</v>
      </c>
      <c r="D480" s="6">
        <v>87.97</v>
      </c>
      <c r="E480" s="5">
        <v>7.81</v>
      </c>
      <c r="F480" s="5">
        <v>6.97</v>
      </c>
      <c r="G480" s="5">
        <f t="shared" si="7"/>
        <v>0.83999999999999986</v>
      </c>
      <c r="H480" s="6">
        <v>1034.2084</v>
      </c>
      <c r="I480" s="7">
        <v>1139.44995117187</v>
      </c>
      <c r="J480" s="7">
        <v>19.659148694348598</v>
      </c>
      <c r="K480" s="7">
        <v>0</v>
      </c>
    </row>
    <row r="481" spans="1:11" x14ac:dyDescent="0.3">
      <c r="A481" s="4">
        <v>37226</v>
      </c>
      <c r="B481" s="5">
        <v>1.82</v>
      </c>
      <c r="C481" s="11">
        <v>177.4</v>
      </c>
      <c r="D481" s="6">
        <v>87.932400000000001</v>
      </c>
      <c r="E481" s="5">
        <v>8.0500000000000007</v>
      </c>
      <c r="F481" s="5">
        <v>6.77</v>
      </c>
      <c r="G481" s="5">
        <f t="shared" si="7"/>
        <v>1.2800000000000011</v>
      </c>
      <c r="H481" s="6">
        <v>1021.5675</v>
      </c>
      <c r="I481" s="7">
        <v>1148.07995605468</v>
      </c>
      <c r="J481" s="7">
        <v>19.4896438448671</v>
      </c>
      <c r="K481" s="7">
        <v>0</v>
      </c>
    </row>
    <row r="482" spans="1:11" x14ac:dyDescent="0.3">
      <c r="A482" s="4">
        <v>37257</v>
      </c>
      <c r="B482" s="5">
        <v>1.73</v>
      </c>
      <c r="C482" s="11">
        <v>177.7</v>
      </c>
      <c r="D482" s="6">
        <v>88.517600000000002</v>
      </c>
      <c r="E482" s="5">
        <v>7.87</v>
      </c>
      <c r="F482" s="5">
        <v>6.55</v>
      </c>
      <c r="G482" s="5">
        <f t="shared" si="7"/>
        <v>1.3200000000000003</v>
      </c>
      <c r="H482" s="6">
        <v>1011.7855</v>
      </c>
      <c r="I482" s="7">
        <v>1130.19995117187</v>
      </c>
      <c r="J482" s="7">
        <v>21.033985786992002</v>
      </c>
      <c r="K482" s="7">
        <v>1</v>
      </c>
    </row>
    <row r="483" spans="1:11" x14ac:dyDescent="0.3">
      <c r="A483" s="4">
        <v>37288</v>
      </c>
      <c r="B483" s="5">
        <v>1.74</v>
      </c>
      <c r="C483" s="11">
        <v>178</v>
      </c>
      <c r="D483" s="6">
        <v>88.527799999999999</v>
      </c>
      <c r="E483" s="5">
        <v>7.89</v>
      </c>
      <c r="F483" s="5">
        <v>6.51</v>
      </c>
      <c r="G483" s="5">
        <f t="shared" si="7"/>
        <v>1.38</v>
      </c>
      <c r="H483" s="6">
        <v>1016.4296000000001</v>
      </c>
      <c r="I483" s="7">
        <v>1106.72998046875</v>
      </c>
      <c r="J483" s="7">
        <v>23.927719222648701</v>
      </c>
      <c r="K483" s="7">
        <v>1</v>
      </c>
    </row>
    <row r="484" spans="1:11" x14ac:dyDescent="0.3">
      <c r="A484" s="4">
        <v>37316</v>
      </c>
      <c r="B484" s="5">
        <v>1.73</v>
      </c>
      <c r="C484" s="11">
        <v>178.5</v>
      </c>
      <c r="D484" s="6">
        <v>89.168599999999998</v>
      </c>
      <c r="E484" s="5">
        <v>8.11</v>
      </c>
      <c r="F484" s="5">
        <v>6.81</v>
      </c>
      <c r="G484" s="5">
        <f t="shared" si="7"/>
        <v>1.2999999999999998</v>
      </c>
      <c r="H484" s="6">
        <v>1012.0572</v>
      </c>
      <c r="I484" s="7">
        <v>1147.39001464843</v>
      </c>
      <c r="J484" s="7">
        <v>20.257214960819599</v>
      </c>
      <c r="K484" s="7">
        <v>0</v>
      </c>
    </row>
    <row r="485" spans="1:11" x14ac:dyDescent="0.3">
      <c r="A485" s="4">
        <v>37347</v>
      </c>
      <c r="B485" s="5">
        <v>1.75</v>
      </c>
      <c r="C485" s="11">
        <v>179.3</v>
      </c>
      <c r="D485" s="6">
        <v>89.603999999999999</v>
      </c>
      <c r="E485" s="5">
        <v>8.0299999999999994</v>
      </c>
      <c r="F485" s="5">
        <v>6.76</v>
      </c>
      <c r="G485" s="5">
        <f t="shared" si="7"/>
        <v>1.2699999999999996</v>
      </c>
      <c r="H485" s="6">
        <v>1000.4692</v>
      </c>
      <c r="I485" s="7">
        <v>1076.92004394531</v>
      </c>
      <c r="J485" s="7">
        <v>20.292698787770501</v>
      </c>
      <c r="K485" s="7">
        <v>0</v>
      </c>
    </row>
    <row r="486" spans="1:11" x14ac:dyDescent="0.3">
      <c r="A486" s="4">
        <v>37377</v>
      </c>
      <c r="B486" s="5">
        <v>1.75</v>
      </c>
      <c r="C486" s="11">
        <v>179.5</v>
      </c>
      <c r="D486" s="6">
        <v>89.963999999999999</v>
      </c>
      <c r="E486" s="5">
        <v>8.09</v>
      </c>
      <c r="F486" s="5">
        <v>6.75</v>
      </c>
      <c r="G486" s="5">
        <f t="shared" si="7"/>
        <v>1.3399999999999999</v>
      </c>
      <c r="H486" s="6">
        <v>990.77030000000002</v>
      </c>
      <c r="I486" s="7">
        <v>1067.14001464843</v>
      </c>
      <c r="J486" s="7">
        <v>27.885124596989801</v>
      </c>
      <c r="K486" s="7">
        <v>1</v>
      </c>
    </row>
    <row r="487" spans="1:11" x14ac:dyDescent="0.3">
      <c r="A487" s="4">
        <v>37408</v>
      </c>
      <c r="B487" s="5">
        <v>1.75</v>
      </c>
      <c r="C487" s="11">
        <v>179.6</v>
      </c>
      <c r="D487" s="6">
        <v>90.706100000000006</v>
      </c>
      <c r="E487" s="5">
        <v>7.95</v>
      </c>
      <c r="F487" s="5">
        <v>6.63</v>
      </c>
      <c r="G487" s="5">
        <f t="shared" si="7"/>
        <v>1.3200000000000003</v>
      </c>
      <c r="H487" s="6">
        <v>983.8954</v>
      </c>
      <c r="I487" s="7">
        <v>989.82000732421795</v>
      </c>
      <c r="J487" s="7">
        <v>27.019804846383899</v>
      </c>
      <c r="K487" s="7">
        <v>1</v>
      </c>
    </row>
    <row r="488" spans="1:11" x14ac:dyDescent="0.3">
      <c r="A488" s="4">
        <v>37438</v>
      </c>
      <c r="B488" s="5">
        <v>1.73</v>
      </c>
      <c r="C488" s="11">
        <v>180</v>
      </c>
      <c r="D488" s="6">
        <v>90.676900000000003</v>
      </c>
      <c r="E488" s="5">
        <v>7.9</v>
      </c>
      <c r="F488" s="5">
        <v>6.53</v>
      </c>
      <c r="G488" s="5">
        <f t="shared" si="7"/>
        <v>1.37</v>
      </c>
      <c r="H488" s="6">
        <v>976.61860000000001</v>
      </c>
      <c r="I488" s="7">
        <v>911.61999511718705</v>
      </c>
      <c r="J488" s="7">
        <v>53.436627732744903</v>
      </c>
      <c r="K488" s="7">
        <v>1</v>
      </c>
    </row>
    <row r="489" spans="1:11" x14ac:dyDescent="0.3">
      <c r="A489" s="4">
        <v>37469</v>
      </c>
      <c r="B489" s="5">
        <v>1.74</v>
      </c>
      <c r="C489" s="11">
        <v>180.5</v>
      </c>
      <c r="D489" s="6">
        <v>90.5762</v>
      </c>
      <c r="E489" s="5">
        <v>7.58</v>
      </c>
      <c r="F489" s="5">
        <v>6.37</v>
      </c>
      <c r="G489" s="5">
        <f t="shared" si="7"/>
        <v>1.21</v>
      </c>
      <c r="H489" s="6">
        <v>972.44420000000002</v>
      </c>
      <c r="I489" s="7">
        <v>916.07000732421795</v>
      </c>
      <c r="J489" s="7">
        <v>42.4100789938405</v>
      </c>
      <c r="K489" s="7">
        <v>1</v>
      </c>
    </row>
    <row r="490" spans="1:11" x14ac:dyDescent="0.3">
      <c r="A490" s="4">
        <v>37500</v>
      </c>
      <c r="B490" s="5">
        <v>1.75</v>
      </c>
      <c r="C490" s="11">
        <v>180.8</v>
      </c>
      <c r="D490" s="6">
        <v>90.653099999999995</v>
      </c>
      <c r="E490" s="5">
        <v>7.4</v>
      </c>
      <c r="F490" s="5">
        <v>6.15</v>
      </c>
      <c r="G490" s="5">
        <f t="shared" si="7"/>
        <v>1.25</v>
      </c>
      <c r="H490" s="6">
        <v>966.42420000000004</v>
      </c>
      <c r="I490" s="7">
        <v>815.280029296875</v>
      </c>
      <c r="J490" s="7">
        <v>38.064070203531799</v>
      </c>
      <c r="K490" s="7">
        <v>1</v>
      </c>
    </row>
    <row r="491" spans="1:11" x14ac:dyDescent="0.3">
      <c r="A491" s="4">
        <v>37530</v>
      </c>
      <c r="B491" s="5">
        <v>1.75</v>
      </c>
      <c r="C491" s="11">
        <v>181.2</v>
      </c>
      <c r="D491" s="6">
        <v>90.464299999999994</v>
      </c>
      <c r="E491" s="5">
        <v>7.73</v>
      </c>
      <c r="F491" s="5">
        <v>6.32</v>
      </c>
      <c r="G491" s="5">
        <f t="shared" si="7"/>
        <v>1.4100000000000001</v>
      </c>
      <c r="H491" s="6">
        <v>963.2808</v>
      </c>
      <c r="I491" s="7">
        <v>885.760009765625</v>
      </c>
      <c r="J491" s="7">
        <v>45.046099007737801</v>
      </c>
      <c r="K491" s="7">
        <v>1</v>
      </c>
    </row>
    <row r="492" spans="1:11" x14ac:dyDescent="0.3">
      <c r="A492" s="4">
        <v>37561</v>
      </c>
      <c r="B492" s="5">
        <v>1.34</v>
      </c>
      <c r="C492" s="11">
        <v>181.5</v>
      </c>
      <c r="D492" s="6">
        <v>90.971100000000007</v>
      </c>
      <c r="E492" s="5">
        <v>7.62</v>
      </c>
      <c r="F492" s="5">
        <v>6.31</v>
      </c>
      <c r="G492" s="5">
        <f t="shared" si="7"/>
        <v>1.3100000000000005</v>
      </c>
      <c r="H492" s="6">
        <v>960.79240000000004</v>
      </c>
      <c r="I492" s="7">
        <v>936.30999755859295</v>
      </c>
      <c r="J492" s="7">
        <v>30.0846449018503</v>
      </c>
      <c r="K492" s="7">
        <v>1</v>
      </c>
    </row>
    <row r="493" spans="1:11" x14ac:dyDescent="0.3">
      <c r="A493" s="4">
        <v>37591</v>
      </c>
      <c r="B493" s="5">
        <v>1.24</v>
      </c>
      <c r="C493" s="11">
        <v>181.8</v>
      </c>
      <c r="D493" s="6">
        <v>90.465199999999996</v>
      </c>
      <c r="E493" s="5">
        <v>7.45</v>
      </c>
      <c r="F493" s="5">
        <v>6.21</v>
      </c>
      <c r="G493" s="5">
        <f t="shared" si="7"/>
        <v>1.2400000000000002</v>
      </c>
      <c r="H493" s="6">
        <v>957.75990000000002</v>
      </c>
      <c r="I493" s="7">
        <v>879.82000732421795</v>
      </c>
      <c r="J493" s="7">
        <v>22.281918773967199</v>
      </c>
      <c r="K493" s="7">
        <v>1</v>
      </c>
    </row>
    <row r="494" spans="1:11" x14ac:dyDescent="0.3">
      <c r="A494" s="4">
        <v>37622</v>
      </c>
      <c r="B494" s="5">
        <v>1.24</v>
      </c>
      <c r="C494" s="11">
        <v>182.6</v>
      </c>
      <c r="D494" s="6">
        <v>91.236099999999993</v>
      </c>
      <c r="E494" s="5">
        <v>7.35</v>
      </c>
      <c r="F494" s="5">
        <v>6.17</v>
      </c>
      <c r="G494" s="5">
        <f t="shared" si="7"/>
        <v>1.1799999999999997</v>
      </c>
      <c r="H494" s="6">
        <v>950.13220000000001</v>
      </c>
      <c r="I494" s="7">
        <v>855.70001220703102</v>
      </c>
      <c r="J494" s="7">
        <v>32.142071260918897</v>
      </c>
      <c r="K494" s="7">
        <v>1</v>
      </c>
    </row>
    <row r="495" spans="1:11" x14ac:dyDescent="0.3">
      <c r="A495" s="4">
        <v>37653</v>
      </c>
      <c r="B495" s="5">
        <v>1.26</v>
      </c>
      <c r="C495" s="11">
        <v>183.6</v>
      </c>
      <c r="D495" s="6">
        <v>91.344499999999996</v>
      </c>
      <c r="E495" s="5">
        <v>7.06</v>
      </c>
      <c r="F495" s="5">
        <v>5.95</v>
      </c>
      <c r="G495" s="5">
        <f t="shared" si="7"/>
        <v>1.1099999999999994</v>
      </c>
      <c r="H495" s="6">
        <v>941.26179999999999</v>
      </c>
      <c r="I495" s="7">
        <v>841.15002441406205</v>
      </c>
      <c r="J495" s="7">
        <v>23.864112482799399</v>
      </c>
      <c r="K495" s="7">
        <v>1</v>
      </c>
    </row>
    <row r="496" spans="1:11" x14ac:dyDescent="0.3">
      <c r="A496" s="4">
        <v>37681</v>
      </c>
      <c r="B496" s="5">
        <v>1.25</v>
      </c>
      <c r="C496" s="11">
        <v>183.9</v>
      </c>
      <c r="D496" s="6">
        <v>91.104399999999998</v>
      </c>
      <c r="E496" s="5">
        <v>6.95</v>
      </c>
      <c r="F496" s="5">
        <v>5.89</v>
      </c>
      <c r="G496" s="5">
        <f t="shared" si="7"/>
        <v>1.0600000000000005</v>
      </c>
      <c r="H496" s="6">
        <v>937.74210000000005</v>
      </c>
      <c r="I496" s="7">
        <v>848.17999267578102</v>
      </c>
      <c r="J496" s="7">
        <v>35.085002878370801</v>
      </c>
      <c r="K496" s="7">
        <v>1</v>
      </c>
    </row>
    <row r="497" spans="1:11" x14ac:dyDescent="0.3">
      <c r="A497" s="4">
        <v>37712</v>
      </c>
      <c r="B497" s="5">
        <v>1.26</v>
      </c>
      <c r="C497" s="11">
        <v>183.2</v>
      </c>
      <c r="D497" s="6">
        <v>90.561700000000002</v>
      </c>
      <c r="E497" s="5">
        <v>6.85</v>
      </c>
      <c r="F497" s="5">
        <v>5.74</v>
      </c>
      <c r="G497" s="5">
        <f t="shared" si="7"/>
        <v>1.1099999999999994</v>
      </c>
      <c r="H497" s="6">
        <v>935.33109999999999</v>
      </c>
      <c r="I497" s="7">
        <v>916.91998291015602</v>
      </c>
      <c r="J497" s="7">
        <v>23.484105605550699</v>
      </c>
      <c r="K497" s="7">
        <v>1</v>
      </c>
    </row>
    <row r="498" spans="1:11" x14ac:dyDescent="0.3">
      <c r="A498" s="4">
        <v>37742</v>
      </c>
      <c r="B498" s="5">
        <v>1.26</v>
      </c>
      <c r="C498" s="11">
        <v>182.9</v>
      </c>
      <c r="D498" s="6">
        <v>90.537000000000006</v>
      </c>
      <c r="E498" s="5">
        <v>6.38</v>
      </c>
      <c r="F498" s="5">
        <v>5.22</v>
      </c>
      <c r="G498" s="5">
        <f t="shared" si="7"/>
        <v>1.1600000000000001</v>
      </c>
      <c r="H498" s="6">
        <v>923.87699999999995</v>
      </c>
      <c r="I498" s="7">
        <v>963.59002685546795</v>
      </c>
      <c r="J498" s="7">
        <v>20.608202853363899</v>
      </c>
      <c r="K498" s="7">
        <v>0</v>
      </c>
    </row>
    <row r="499" spans="1:11" x14ac:dyDescent="0.3">
      <c r="A499" s="4">
        <v>37773</v>
      </c>
      <c r="B499" s="5">
        <v>1.22</v>
      </c>
      <c r="C499" s="11">
        <v>183.1</v>
      </c>
      <c r="D499" s="6">
        <v>90.652699999999996</v>
      </c>
      <c r="E499" s="5">
        <v>6.19</v>
      </c>
      <c r="F499" s="5">
        <v>4.97</v>
      </c>
      <c r="G499" s="5">
        <f t="shared" si="7"/>
        <v>1.2200000000000006</v>
      </c>
      <c r="H499" s="6">
        <v>917.20899999999995</v>
      </c>
      <c r="I499" s="7">
        <v>974.5</v>
      </c>
      <c r="J499" s="7">
        <v>19.992329933341299</v>
      </c>
      <c r="K499" s="7">
        <v>0</v>
      </c>
    </row>
    <row r="500" spans="1:11" x14ac:dyDescent="0.3">
      <c r="A500" s="4">
        <v>37803</v>
      </c>
      <c r="B500" s="5">
        <v>1.01</v>
      </c>
      <c r="C500" s="11">
        <v>183.7</v>
      </c>
      <c r="D500" s="6">
        <v>91.118499999999997</v>
      </c>
      <c r="E500" s="5">
        <v>6.62</v>
      </c>
      <c r="F500" s="5">
        <v>5.49</v>
      </c>
      <c r="G500" s="5">
        <f t="shared" si="7"/>
        <v>1.1299999999999999</v>
      </c>
      <c r="H500" s="6">
        <v>921.43409999999994</v>
      </c>
      <c r="I500" s="7">
        <v>990.30999755859295</v>
      </c>
      <c r="J500" s="7">
        <v>19.721959017031299</v>
      </c>
      <c r="K500" s="7">
        <v>0</v>
      </c>
    </row>
    <row r="501" spans="1:11" x14ac:dyDescent="0.3">
      <c r="A501" s="4">
        <v>37834</v>
      </c>
      <c r="B501" s="5">
        <v>1.03</v>
      </c>
      <c r="C501" s="11">
        <v>184.5</v>
      </c>
      <c r="D501" s="6">
        <v>90.919700000000006</v>
      </c>
      <c r="E501" s="5">
        <v>7.01</v>
      </c>
      <c r="F501" s="5">
        <v>5.88</v>
      </c>
      <c r="G501" s="5">
        <f t="shared" si="7"/>
        <v>1.1299999999999999</v>
      </c>
      <c r="H501" s="6">
        <v>909.59640000000002</v>
      </c>
      <c r="I501" s="7">
        <v>1008.01000976562</v>
      </c>
      <c r="J501" s="7">
        <v>13.8811568494233</v>
      </c>
      <c r="K501" s="7">
        <v>0</v>
      </c>
    </row>
    <row r="502" spans="1:11" x14ac:dyDescent="0.3">
      <c r="A502" s="4">
        <v>37865</v>
      </c>
      <c r="B502" s="5">
        <v>1.01</v>
      </c>
      <c r="C502" s="11">
        <v>185.1</v>
      </c>
      <c r="D502" s="6">
        <v>91.505899999999997</v>
      </c>
      <c r="E502" s="5">
        <v>6.79</v>
      </c>
      <c r="F502" s="5">
        <v>5.72</v>
      </c>
      <c r="G502" s="5">
        <f t="shared" si="7"/>
        <v>1.0700000000000003</v>
      </c>
      <c r="H502" s="6">
        <v>899.94460000000004</v>
      </c>
      <c r="I502" s="7">
        <v>995.969970703125</v>
      </c>
      <c r="J502" s="7">
        <v>19.389508305107601</v>
      </c>
      <c r="K502" s="7">
        <v>0</v>
      </c>
    </row>
    <row r="503" spans="1:11" x14ac:dyDescent="0.3">
      <c r="A503" s="4">
        <v>37895</v>
      </c>
      <c r="B503" s="5">
        <v>1.01</v>
      </c>
      <c r="C503" s="11">
        <v>184.9</v>
      </c>
      <c r="D503" s="6">
        <v>91.618600000000001</v>
      </c>
      <c r="E503" s="5">
        <v>6.73</v>
      </c>
      <c r="F503" s="5">
        <v>5.7</v>
      </c>
      <c r="G503" s="5">
        <f t="shared" si="7"/>
        <v>1.0300000000000002</v>
      </c>
      <c r="H503" s="6">
        <v>887.21510000000001</v>
      </c>
      <c r="I503" s="7">
        <v>1050.7099609375</v>
      </c>
      <c r="J503" s="7">
        <v>15.263403215195201</v>
      </c>
      <c r="K503" s="7">
        <v>0</v>
      </c>
    </row>
    <row r="504" spans="1:11" x14ac:dyDescent="0.3">
      <c r="A504" s="4">
        <v>37926</v>
      </c>
      <c r="B504" s="5">
        <v>1</v>
      </c>
      <c r="C504" s="11">
        <v>185</v>
      </c>
      <c r="D504" s="6">
        <v>92.232900000000001</v>
      </c>
      <c r="E504" s="5">
        <v>6.66</v>
      </c>
      <c r="F504" s="5">
        <v>5.65</v>
      </c>
      <c r="G504" s="5">
        <f t="shared" si="7"/>
        <v>1.0099999999999998</v>
      </c>
      <c r="H504" s="6">
        <v>882.08820000000003</v>
      </c>
      <c r="I504" s="7">
        <v>1058.19995117187</v>
      </c>
      <c r="J504" s="7">
        <v>14.2889009127208</v>
      </c>
      <c r="K504" s="7">
        <v>0</v>
      </c>
    </row>
    <row r="505" spans="1:11" x14ac:dyDescent="0.3">
      <c r="A505" s="4">
        <v>37956</v>
      </c>
      <c r="B505" s="5">
        <v>0.98</v>
      </c>
      <c r="C505" s="11">
        <v>185.5</v>
      </c>
      <c r="D505" s="6">
        <v>92.260199999999998</v>
      </c>
      <c r="E505" s="5">
        <v>6.6</v>
      </c>
      <c r="F505" s="5">
        <v>5.62</v>
      </c>
      <c r="G505" s="5">
        <f t="shared" si="7"/>
        <v>0.97999999999999954</v>
      </c>
      <c r="H505" s="6">
        <v>883.65499999999997</v>
      </c>
      <c r="I505" s="7">
        <v>1111.92004394531</v>
      </c>
      <c r="J505" s="7">
        <v>12.2059857656989</v>
      </c>
      <c r="K505" s="7">
        <v>0</v>
      </c>
    </row>
    <row r="506" spans="1:11" x14ac:dyDescent="0.3">
      <c r="A506" s="4">
        <v>37987</v>
      </c>
      <c r="B506" s="5">
        <v>1</v>
      </c>
      <c r="C506" s="11">
        <v>186.3</v>
      </c>
      <c r="D506" s="6">
        <v>92.400599999999997</v>
      </c>
      <c r="E506" s="5">
        <v>6.44</v>
      </c>
      <c r="F506" s="5">
        <v>5.54</v>
      </c>
      <c r="G506" s="5">
        <f t="shared" si="7"/>
        <v>0.90000000000000036</v>
      </c>
      <c r="H506" s="6">
        <v>876.23559999999998</v>
      </c>
      <c r="I506" s="7">
        <v>1131.13000488281</v>
      </c>
      <c r="J506" s="7">
        <v>14.2938804754121</v>
      </c>
      <c r="K506" s="7">
        <v>0</v>
      </c>
    </row>
    <row r="507" spans="1:11" x14ac:dyDescent="0.3">
      <c r="A507" s="4">
        <v>38018</v>
      </c>
      <c r="B507" s="5">
        <v>1.01</v>
      </c>
      <c r="C507" s="11">
        <v>186.7</v>
      </c>
      <c r="D507" s="6">
        <v>92.957999999999998</v>
      </c>
      <c r="E507" s="5">
        <v>6.27</v>
      </c>
      <c r="F507" s="5">
        <v>5.5</v>
      </c>
      <c r="G507" s="5">
        <f t="shared" si="7"/>
        <v>0.76999999999999957</v>
      </c>
      <c r="H507" s="6">
        <v>874.27739999999994</v>
      </c>
      <c r="I507" s="7">
        <v>1144.93994140625</v>
      </c>
      <c r="J507" s="7">
        <v>11.5883123922997</v>
      </c>
      <c r="K507" s="7">
        <v>0</v>
      </c>
    </row>
    <row r="508" spans="1:11" x14ac:dyDescent="0.3">
      <c r="A508" s="4">
        <v>38047</v>
      </c>
      <c r="B508" s="5">
        <v>1</v>
      </c>
      <c r="C508" s="11">
        <v>187.1</v>
      </c>
      <c r="D508" s="6">
        <v>92.586100000000002</v>
      </c>
      <c r="E508" s="5">
        <v>6.11</v>
      </c>
      <c r="F508" s="5">
        <v>5.33</v>
      </c>
      <c r="G508" s="5">
        <f t="shared" si="7"/>
        <v>0.78000000000000025</v>
      </c>
      <c r="H508" s="6">
        <v>869.51430000000005</v>
      </c>
      <c r="I508" s="7">
        <v>1126.2099609375</v>
      </c>
      <c r="J508" s="7">
        <v>19.010345757898801</v>
      </c>
      <c r="K508" s="7">
        <v>0</v>
      </c>
    </row>
    <row r="509" spans="1:11" x14ac:dyDescent="0.3">
      <c r="A509" s="4">
        <v>38078</v>
      </c>
      <c r="B509" s="5">
        <v>1</v>
      </c>
      <c r="C509" s="11">
        <v>187.4</v>
      </c>
      <c r="D509" s="6">
        <v>92.93</v>
      </c>
      <c r="E509" s="5">
        <v>6.46</v>
      </c>
      <c r="F509" s="5">
        <v>5.73</v>
      </c>
      <c r="G509" s="5">
        <f t="shared" si="7"/>
        <v>0.72999999999999954</v>
      </c>
      <c r="H509" s="6">
        <v>864.7337</v>
      </c>
      <c r="I509" s="7">
        <v>1107.30004882812</v>
      </c>
      <c r="J509" s="7">
        <v>15.698979416690999</v>
      </c>
      <c r="K509" s="7">
        <v>0</v>
      </c>
    </row>
    <row r="510" spans="1:11" x14ac:dyDescent="0.3">
      <c r="A510" s="4">
        <v>38108</v>
      </c>
      <c r="B510" s="5">
        <v>1</v>
      </c>
      <c r="C510" s="11">
        <v>188.2</v>
      </c>
      <c r="D510" s="6">
        <v>93.601299999999995</v>
      </c>
      <c r="E510" s="5">
        <v>6.75</v>
      </c>
      <c r="F510" s="5">
        <v>6.04</v>
      </c>
      <c r="G510" s="5">
        <f t="shared" si="7"/>
        <v>0.71</v>
      </c>
      <c r="H510" s="6">
        <v>862.69949999999994</v>
      </c>
      <c r="I510" s="7">
        <v>1120.68005371093</v>
      </c>
      <c r="J510" s="7">
        <v>14.3427027367054</v>
      </c>
      <c r="K510" s="7">
        <v>0</v>
      </c>
    </row>
    <row r="511" spans="1:11" x14ac:dyDescent="0.3">
      <c r="A511" s="4">
        <v>38139</v>
      </c>
      <c r="B511" s="5">
        <v>1.03</v>
      </c>
      <c r="C511" s="11">
        <v>188.9</v>
      </c>
      <c r="D511" s="6">
        <v>92.870999999999995</v>
      </c>
      <c r="E511" s="5">
        <v>6.78</v>
      </c>
      <c r="F511" s="5">
        <v>6.01</v>
      </c>
      <c r="G511" s="5">
        <f t="shared" si="7"/>
        <v>0.77000000000000046</v>
      </c>
      <c r="H511" s="6">
        <v>869.04549999999995</v>
      </c>
      <c r="I511" s="7">
        <v>1140.83996582031</v>
      </c>
      <c r="J511" s="7">
        <v>12.317198810049501</v>
      </c>
      <c r="K511" s="7">
        <v>0</v>
      </c>
    </row>
    <row r="512" spans="1:11" x14ac:dyDescent="0.3">
      <c r="A512" s="4">
        <v>38169</v>
      </c>
      <c r="B512" s="5">
        <v>1.26</v>
      </c>
      <c r="C512" s="11">
        <v>189.1</v>
      </c>
      <c r="D512" s="6">
        <v>93.564899999999994</v>
      </c>
      <c r="E512" s="5">
        <v>6.62</v>
      </c>
      <c r="F512" s="5">
        <v>5.82</v>
      </c>
      <c r="G512" s="5">
        <f t="shared" si="7"/>
        <v>0.79999999999999982</v>
      </c>
      <c r="H512" s="6">
        <v>878.11699999999996</v>
      </c>
      <c r="I512" s="7">
        <v>1101.71997070312</v>
      </c>
      <c r="J512" s="7">
        <v>12.0725630521695</v>
      </c>
      <c r="K512" s="7">
        <v>0</v>
      </c>
    </row>
    <row r="513" spans="1:11" x14ac:dyDescent="0.3">
      <c r="A513" s="4">
        <v>38200</v>
      </c>
      <c r="B513" s="5">
        <v>1.43</v>
      </c>
      <c r="C513" s="11">
        <v>189.2</v>
      </c>
      <c r="D513" s="6">
        <v>93.627700000000004</v>
      </c>
      <c r="E513" s="5">
        <v>6.46</v>
      </c>
      <c r="F513" s="5">
        <v>5.65</v>
      </c>
      <c r="G513" s="5">
        <f t="shared" si="7"/>
        <v>0.80999999999999961</v>
      </c>
      <c r="H513" s="6">
        <v>882.83159999999998</v>
      </c>
      <c r="I513" s="7">
        <v>1104.23999023437</v>
      </c>
      <c r="J513" s="7">
        <v>16.656592375236499</v>
      </c>
      <c r="K513" s="7">
        <v>0</v>
      </c>
    </row>
    <row r="514" spans="1:11" x14ac:dyDescent="0.3">
      <c r="A514" s="4">
        <v>38231</v>
      </c>
      <c r="B514" s="5">
        <v>1.61</v>
      </c>
      <c r="C514" s="11">
        <v>189.8</v>
      </c>
      <c r="D514" s="6">
        <v>93.746700000000004</v>
      </c>
      <c r="E514" s="5">
        <v>6.27</v>
      </c>
      <c r="F514" s="5">
        <v>5.46</v>
      </c>
      <c r="G514" s="5">
        <f t="shared" si="7"/>
        <v>0.80999999999999961</v>
      </c>
      <c r="H514" s="6">
        <v>886.7373</v>
      </c>
      <c r="I514" s="7">
        <v>1114.57995605468</v>
      </c>
      <c r="J514" s="7">
        <v>11.900407995557501</v>
      </c>
      <c r="K514" s="7">
        <v>0</v>
      </c>
    </row>
    <row r="515" spans="1:11" x14ac:dyDescent="0.3">
      <c r="A515" s="4">
        <v>38261</v>
      </c>
      <c r="B515" s="5">
        <v>1.76</v>
      </c>
      <c r="C515" s="11">
        <v>190.8</v>
      </c>
      <c r="D515" s="6">
        <v>94.546499999999995</v>
      </c>
      <c r="E515" s="5">
        <v>6.21</v>
      </c>
      <c r="F515" s="5">
        <v>5.47</v>
      </c>
      <c r="G515" s="5">
        <f t="shared" ref="G515:G578" si="8">E515-F515</f>
        <v>0.74000000000000021</v>
      </c>
      <c r="H515" s="6">
        <v>889.53020000000004</v>
      </c>
      <c r="I515" s="7">
        <v>1130.19995117187</v>
      </c>
      <c r="J515" s="7">
        <v>15.657670184801001</v>
      </c>
      <c r="K515" s="7">
        <v>0</v>
      </c>
    </row>
    <row r="516" spans="1:11" x14ac:dyDescent="0.3">
      <c r="A516" s="4">
        <v>38292</v>
      </c>
      <c r="B516" s="5">
        <v>1.93</v>
      </c>
      <c r="C516" s="11">
        <v>191.7</v>
      </c>
      <c r="D516" s="6">
        <v>94.781300000000002</v>
      </c>
      <c r="E516" s="5">
        <v>6.2</v>
      </c>
      <c r="F516" s="5">
        <v>5.52</v>
      </c>
      <c r="G516" s="5">
        <f t="shared" si="8"/>
        <v>0.6800000000000006</v>
      </c>
      <c r="H516" s="6">
        <v>897.97069999999997</v>
      </c>
      <c r="I516" s="7">
        <v>1173.81994628906</v>
      </c>
      <c r="J516" s="7">
        <v>12.5618466451789</v>
      </c>
      <c r="K516" s="7">
        <v>0</v>
      </c>
    </row>
    <row r="517" spans="1:11" x14ac:dyDescent="0.3">
      <c r="A517" s="4">
        <v>38322</v>
      </c>
      <c r="B517" s="5">
        <v>2.16</v>
      </c>
      <c r="C517" s="11">
        <v>191.7</v>
      </c>
      <c r="D517" s="6">
        <v>95.536500000000004</v>
      </c>
      <c r="E517" s="5">
        <v>6.15</v>
      </c>
      <c r="F517" s="5">
        <v>5.47</v>
      </c>
      <c r="G517" s="5">
        <f t="shared" si="8"/>
        <v>0.6800000000000006</v>
      </c>
      <c r="H517" s="6">
        <v>906.51940000000002</v>
      </c>
      <c r="I517" s="7">
        <v>1211.92004394531</v>
      </c>
      <c r="J517" s="7">
        <v>11.4080578389222</v>
      </c>
      <c r="K517" s="7">
        <v>0</v>
      </c>
    </row>
    <row r="518" spans="1:11" x14ac:dyDescent="0.3">
      <c r="A518" s="4">
        <v>38353</v>
      </c>
      <c r="B518" s="5">
        <v>2.2799999999999998</v>
      </c>
      <c r="C518" s="11">
        <v>191.6</v>
      </c>
      <c r="D518" s="6">
        <v>95.880099999999999</v>
      </c>
      <c r="E518" s="5">
        <v>6.02</v>
      </c>
      <c r="F518" s="5">
        <v>5.36</v>
      </c>
      <c r="G518" s="5">
        <f t="shared" si="8"/>
        <v>0.65999999999999925</v>
      </c>
      <c r="H518" s="6">
        <v>921.31830000000002</v>
      </c>
      <c r="I518" s="7">
        <v>1181.27001953125</v>
      </c>
      <c r="J518" s="7">
        <v>12.955674754141199</v>
      </c>
      <c r="K518" s="7">
        <v>0</v>
      </c>
    </row>
    <row r="519" spans="1:11" x14ac:dyDescent="0.3">
      <c r="A519" s="4">
        <v>38384</v>
      </c>
      <c r="B519" s="5">
        <v>2.5</v>
      </c>
      <c r="C519" s="11">
        <v>192.4</v>
      </c>
      <c r="D519" s="6">
        <v>96.576099999999997</v>
      </c>
      <c r="E519" s="5">
        <v>5.82</v>
      </c>
      <c r="F519" s="5">
        <v>5.2</v>
      </c>
      <c r="G519" s="5">
        <f t="shared" si="8"/>
        <v>0.62000000000000011</v>
      </c>
      <c r="H519" s="6">
        <v>931.60059999999999</v>
      </c>
      <c r="I519" s="7">
        <v>1203.59997558593</v>
      </c>
      <c r="J519" s="7">
        <v>13.524355035751199</v>
      </c>
      <c r="K519" s="7">
        <v>0</v>
      </c>
    </row>
    <row r="520" spans="1:11" x14ac:dyDescent="0.3">
      <c r="A520" s="4">
        <v>38412</v>
      </c>
      <c r="B520" s="5">
        <v>2.63</v>
      </c>
      <c r="C520" s="11">
        <v>193.1</v>
      </c>
      <c r="D520" s="6">
        <v>96.445599999999999</v>
      </c>
      <c r="E520" s="5">
        <v>6.06</v>
      </c>
      <c r="F520" s="5">
        <v>5.4</v>
      </c>
      <c r="G520" s="5">
        <f t="shared" si="8"/>
        <v>0.65999999999999925</v>
      </c>
      <c r="H520" s="6">
        <v>945.86220000000003</v>
      </c>
      <c r="I520" s="7">
        <v>1180.58996582031</v>
      </c>
      <c r="J520" s="7">
        <v>12.7218404669853</v>
      </c>
      <c r="K520" s="7">
        <v>0</v>
      </c>
    </row>
    <row r="521" spans="1:11" x14ac:dyDescent="0.3">
      <c r="A521" s="4">
        <v>38443</v>
      </c>
      <c r="B521" s="5">
        <v>2.79</v>
      </c>
      <c r="C521" s="11">
        <v>193.7</v>
      </c>
      <c r="D521" s="6">
        <v>96.653199999999998</v>
      </c>
      <c r="E521" s="5">
        <v>6.05</v>
      </c>
      <c r="F521" s="5">
        <v>5.33</v>
      </c>
      <c r="G521" s="5">
        <f t="shared" si="8"/>
        <v>0.71999999999999975</v>
      </c>
      <c r="H521" s="6">
        <v>958.80100000000004</v>
      </c>
      <c r="I521" s="7">
        <v>1156.84997558593</v>
      </c>
      <c r="J521" s="7">
        <v>19.0806521510541</v>
      </c>
      <c r="K521" s="7">
        <v>0</v>
      </c>
    </row>
    <row r="522" spans="1:11" x14ac:dyDescent="0.3">
      <c r="A522" s="4">
        <v>38473</v>
      </c>
      <c r="B522" s="5">
        <v>3</v>
      </c>
      <c r="C522" s="11">
        <v>193.6</v>
      </c>
      <c r="D522" s="6">
        <v>96.740200000000002</v>
      </c>
      <c r="E522" s="5">
        <v>6.01</v>
      </c>
      <c r="F522" s="5">
        <v>5.15</v>
      </c>
      <c r="G522" s="5">
        <f t="shared" si="8"/>
        <v>0.85999999999999943</v>
      </c>
      <c r="H522" s="6">
        <v>968.62369999999999</v>
      </c>
      <c r="I522" s="7">
        <v>1191.5</v>
      </c>
      <c r="J522" s="7">
        <v>12.8190129065199</v>
      </c>
      <c r="K522" s="7">
        <v>0</v>
      </c>
    </row>
    <row r="523" spans="1:11" x14ac:dyDescent="0.3">
      <c r="A523" s="4">
        <v>38504</v>
      </c>
      <c r="B523" s="5">
        <v>3.04</v>
      </c>
      <c r="C523" s="11">
        <v>193.7</v>
      </c>
      <c r="D523" s="6">
        <v>97.175299999999993</v>
      </c>
      <c r="E523" s="5">
        <v>5.86</v>
      </c>
      <c r="F523" s="5">
        <v>4.96</v>
      </c>
      <c r="G523" s="5">
        <f t="shared" si="8"/>
        <v>0.90000000000000036</v>
      </c>
      <c r="H523" s="6">
        <v>975.0068</v>
      </c>
      <c r="I523" s="7">
        <v>1191.32995605468</v>
      </c>
      <c r="J523" s="7">
        <v>10.2000911767889</v>
      </c>
      <c r="K523" s="7">
        <v>0</v>
      </c>
    </row>
    <row r="524" spans="1:11" x14ac:dyDescent="0.3">
      <c r="A524" s="4">
        <v>38534</v>
      </c>
      <c r="B524" s="5">
        <v>3.26</v>
      </c>
      <c r="C524" s="11">
        <v>194.9</v>
      </c>
      <c r="D524" s="6">
        <v>96.867599999999996</v>
      </c>
      <c r="E524" s="5">
        <v>5.95</v>
      </c>
      <c r="F524" s="5">
        <v>5.0599999999999996</v>
      </c>
      <c r="G524" s="5">
        <f t="shared" si="8"/>
        <v>0.89000000000000057</v>
      </c>
      <c r="H524" s="6">
        <v>989.70299999999997</v>
      </c>
      <c r="I524" s="7">
        <v>1234.18005371093</v>
      </c>
      <c r="J524" s="7">
        <v>11.1453987567876</v>
      </c>
      <c r="K524" s="7">
        <v>0</v>
      </c>
    </row>
    <row r="525" spans="1:11" x14ac:dyDescent="0.3">
      <c r="A525" s="4">
        <v>38565</v>
      </c>
      <c r="B525" s="5">
        <v>3.5</v>
      </c>
      <c r="C525" s="11">
        <v>196.1</v>
      </c>
      <c r="D525" s="6">
        <v>97.183300000000003</v>
      </c>
      <c r="E525" s="5">
        <v>5.96</v>
      </c>
      <c r="F525" s="5">
        <v>5.09</v>
      </c>
      <c r="G525" s="5">
        <f t="shared" si="8"/>
        <v>0.87000000000000011</v>
      </c>
      <c r="H525" s="6">
        <v>995.50609999999995</v>
      </c>
      <c r="I525" s="7">
        <v>1220.32995605468</v>
      </c>
      <c r="J525" s="7">
        <v>11.2602187668725</v>
      </c>
      <c r="K525" s="7">
        <v>0</v>
      </c>
    </row>
    <row r="526" spans="1:11" x14ac:dyDescent="0.3">
      <c r="A526" s="4">
        <v>38596</v>
      </c>
      <c r="B526" s="5">
        <v>3.62</v>
      </c>
      <c r="C526" s="11">
        <v>198.8</v>
      </c>
      <c r="D526" s="6">
        <v>95.3005</v>
      </c>
      <c r="E526" s="5">
        <v>6.03</v>
      </c>
      <c r="F526" s="5">
        <v>5.13</v>
      </c>
      <c r="G526" s="5">
        <f t="shared" si="8"/>
        <v>0.90000000000000036</v>
      </c>
      <c r="H526" s="6">
        <v>1000.7563</v>
      </c>
      <c r="I526" s="7">
        <v>1228.81005859375</v>
      </c>
      <c r="J526" s="7">
        <v>11.495602413060199</v>
      </c>
      <c r="K526" s="7">
        <v>0</v>
      </c>
    </row>
    <row r="527" spans="1:11" x14ac:dyDescent="0.3">
      <c r="A527" s="4">
        <v>38626</v>
      </c>
      <c r="B527" s="5">
        <v>3.78</v>
      </c>
      <c r="C527" s="11">
        <v>199.1</v>
      </c>
      <c r="D527" s="6">
        <v>96.4572</v>
      </c>
      <c r="E527" s="5">
        <v>6.3</v>
      </c>
      <c r="F527" s="5">
        <v>5.35</v>
      </c>
      <c r="G527" s="5">
        <f t="shared" si="8"/>
        <v>0.95000000000000018</v>
      </c>
      <c r="H527" s="6">
        <v>1014.6763</v>
      </c>
      <c r="I527" s="7">
        <v>1207.01000976562</v>
      </c>
      <c r="J527" s="7">
        <v>19.045499429570398</v>
      </c>
      <c r="K527" s="7">
        <v>0</v>
      </c>
    </row>
    <row r="528" spans="1:11" x14ac:dyDescent="0.3">
      <c r="A528" s="4">
        <v>38657</v>
      </c>
      <c r="B528" s="5">
        <v>4</v>
      </c>
      <c r="C528" s="11">
        <v>198.1</v>
      </c>
      <c r="D528" s="6">
        <v>97.541399999999996</v>
      </c>
      <c r="E528" s="5">
        <v>6.39</v>
      </c>
      <c r="F528" s="5">
        <v>5.42</v>
      </c>
      <c r="G528" s="5">
        <f t="shared" si="8"/>
        <v>0.96999999999999975</v>
      </c>
      <c r="H528" s="6">
        <v>1023.0361</v>
      </c>
      <c r="I528" s="7">
        <v>1249.47998046875</v>
      </c>
      <c r="J528" s="7">
        <v>9.8454717719475902</v>
      </c>
      <c r="K528" s="7">
        <v>0</v>
      </c>
    </row>
    <row r="529" spans="1:11" x14ac:dyDescent="0.3">
      <c r="A529" s="4">
        <v>38687</v>
      </c>
      <c r="B529" s="5">
        <v>4.16</v>
      </c>
      <c r="C529" s="11">
        <v>198.1</v>
      </c>
      <c r="D529" s="6">
        <v>98.045199999999994</v>
      </c>
      <c r="E529" s="5">
        <v>6.32</v>
      </c>
      <c r="F529" s="5">
        <v>5.37</v>
      </c>
      <c r="G529" s="5">
        <f t="shared" si="8"/>
        <v>0.95000000000000018</v>
      </c>
      <c r="H529" s="6">
        <v>1036.3154999999999</v>
      </c>
      <c r="I529" s="7">
        <v>1248.2900390625</v>
      </c>
      <c r="J529" s="7">
        <v>9.3324738374613396</v>
      </c>
      <c r="K529" s="7">
        <v>0</v>
      </c>
    </row>
    <row r="530" spans="1:11" x14ac:dyDescent="0.3">
      <c r="A530" s="4">
        <v>38718</v>
      </c>
      <c r="B530" s="5">
        <v>4.29</v>
      </c>
      <c r="C530" s="11">
        <v>199.3</v>
      </c>
      <c r="D530" s="6">
        <v>98.1999</v>
      </c>
      <c r="E530" s="5">
        <v>6.24</v>
      </c>
      <c r="F530" s="5">
        <v>5.29</v>
      </c>
      <c r="G530" s="5">
        <f t="shared" si="8"/>
        <v>0.95000000000000018</v>
      </c>
      <c r="H530" s="6">
        <v>1048.6769999999999</v>
      </c>
      <c r="I530" s="7">
        <v>1280.07995605468</v>
      </c>
      <c r="J530" s="7">
        <v>14.1509166865899</v>
      </c>
      <c r="K530" s="7">
        <v>0</v>
      </c>
    </row>
    <row r="531" spans="1:11" x14ac:dyDescent="0.3">
      <c r="A531" s="4">
        <v>38749</v>
      </c>
      <c r="B531" s="5">
        <v>4.49</v>
      </c>
      <c r="C531" s="11">
        <v>199.4</v>
      </c>
      <c r="D531" s="6">
        <v>98.241299999999995</v>
      </c>
      <c r="E531" s="5">
        <v>6.27</v>
      </c>
      <c r="F531" s="5">
        <v>5.35</v>
      </c>
      <c r="G531" s="5">
        <f t="shared" si="8"/>
        <v>0.91999999999999993</v>
      </c>
      <c r="H531" s="6">
        <v>1058.2693999999999</v>
      </c>
      <c r="I531" s="7">
        <v>1280.66003417968</v>
      </c>
      <c r="J531" s="7">
        <v>12.0514017518719</v>
      </c>
      <c r="K531" s="7">
        <v>0</v>
      </c>
    </row>
    <row r="532" spans="1:11" x14ac:dyDescent="0.3">
      <c r="A532" s="4">
        <v>38777</v>
      </c>
      <c r="B532" s="5">
        <v>4.59</v>
      </c>
      <c r="C532" s="11">
        <v>199.7</v>
      </c>
      <c r="D532" s="6">
        <v>98.462800000000001</v>
      </c>
      <c r="E532" s="5">
        <v>6.41</v>
      </c>
      <c r="F532" s="5">
        <v>5.53</v>
      </c>
      <c r="G532" s="5">
        <f t="shared" si="8"/>
        <v>0.87999999999999989</v>
      </c>
      <c r="H532" s="6">
        <v>1068.6018999999999</v>
      </c>
      <c r="I532" s="7">
        <v>1294.86999511718</v>
      </c>
      <c r="J532" s="7">
        <v>9.9152696331588803</v>
      </c>
      <c r="K532" s="7">
        <v>0</v>
      </c>
    </row>
    <row r="533" spans="1:11" x14ac:dyDescent="0.3">
      <c r="A533" s="4">
        <v>38808</v>
      </c>
      <c r="B533" s="5">
        <v>4.79</v>
      </c>
      <c r="C533" s="11">
        <v>200.7</v>
      </c>
      <c r="D533" s="6">
        <v>98.761799999999994</v>
      </c>
      <c r="E533" s="5">
        <v>6.68</v>
      </c>
      <c r="F533" s="5">
        <v>5.84</v>
      </c>
      <c r="G533" s="5">
        <f t="shared" si="8"/>
        <v>0.83999999999999986</v>
      </c>
      <c r="H533" s="6">
        <v>1085.2170000000001</v>
      </c>
      <c r="I533" s="7">
        <v>1310.60998535156</v>
      </c>
      <c r="J533" s="7">
        <v>11.3942328149032</v>
      </c>
      <c r="K533" s="7">
        <v>0</v>
      </c>
    </row>
    <row r="534" spans="1:11" x14ac:dyDescent="0.3">
      <c r="A534" s="4">
        <v>38838</v>
      </c>
      <c r="B534" s="5">
        <v>4.9400000000000004</v>
      </c>
      <c r="C534" s="11">
        <v>201.3</v>
      </c>
      <c r="D534" s="6">
        <v>98.786900000000003</v>
      </c>
      <c r="E534" s="5">
        <v>6.75</v>
      </c>
      <c r="F534" s="5">
        <v>5.95</v>
      </c>
      <c r="G534" s="5">
        <f t="shared" si="8"/>
        <v>0.79999999999999982</v>
      </c>
      <c r="H534" s="6">
        <v>1103.3153</v>
      </c>
      <c r="I534" s="7">
        <v>1270.08996582031</v>
      </c>
      <c r="J534" s="7">
        <v>15.890076492375099</v>
      </c>
      <c r="K534" s="7">
        <v>0</v>
      </c>
    </row>
    <row r="535" spans="1:11" x14ac:dyDescent="0.3">
      <c r="A535" s="4">
        <v>38869</v>
      </c>
      <c r="B535" s="5">
        <v>4.99</v>
      </c>
      <c r="C535" s="11">
        <v>201.8</v>
      </c>
      <c r="D535" s="6">
        <v>99.099699999999999</v>
      </c>
      <c r="E535" s="5">
        <v>6.78</v>
      </c>
      <c r="F535" s="5">
        <v>5.89</v>
      </c>
      <c r="G535" s="5">
        <f t="shared" si="8"/>
        <v>0.89000000000000057</v>
      </c>
      <c r="H535" s="6">
        <v>1118.8134</v>
      </c>
      <c r="I535" s="7">
        <v>1270.19995117187</v>
      </c>
      <c r="J535" s="7">
        <v>20.021891583218199</v>
      </c>
      <c r="K535" s="7">
        <v>0</v>
      </c>
    </row>
    <row r="536" spans="1:11" x14ac:dyDescent="0.3">
      <c r="A536" s="4">
        <v>38899</v>
      </c>
      <c r="B536" s="5">
        <v>5.24</v>
      </c>
      <c r="C536" s="11">
        <v>202.9</v>
      </c>
      <c r="D536" s="6">
        <v>99.048900000000003</v>
      </c>
      <c r="E536" s="5">
        <v>6.76</v>
      </c>
      <c r="F536" s="5">
        <v>5.85</v>
      </c>
      <c r="G536" s="5">
        <f t="shared" si="8"/>
        <v>0.91000000000000014</v>
      </c>
      <c r="H536" s="6">
        <v>1130.7415000000001</v>
      </c>
      <c r="I536" s="7">
        <v>1276.66003417968</v>
      </c>
      <c r="J536" s="7">
        <v>17.479339511672102</v>
      </c>
      <c r="K536" s="7">
        <v>0</v>
      </c>
    </row>
    <row r="537" spans="1:11" x14ac:dyDescent="0.3">
      <c r="A537" s="4">
        <v>38930</v>
      </c>
      <c r="B537" s="5">
        <v>5.25</v>
      </c>
      <c r="C537" s="11">
        <v>203.8</v>
      </c>
      <c r="D537" s="6">
        <v>99.483599999999996</v>
      </c>
      <c r="E537" s="5">
        <v>6.59</v>
      </c>
      <c r="F537" s="5">
        <v>5.68</v>
      </c>
      <c r="G537" s="5">
        <f t="shared" si="8"/>
        <v>0.91000000000000014</v>
      </c>
      <c r="H537" s="6">
        <v>1151.7102</v>
      </c>
      <c r="I537" s="7">
        <v>1303.81994628906</v>
      </c>
      <c r="J537" s="7">
        <v>9.0005746444723105</v>
      </c>
      <c r="K537" s="7">
        <v>0</v>
      </c>
    </row>
    <row r="538" spans="1:11" x14ac:dyDescent="0.3">
      <c r="A538" s="4">
        <v>38961</v>
      </c>
      <c r="B538" s="5">
        <v>5.25</v>
      </c>
      <c r="C538" s="11">
        <v>202.8</v>
      </c>
      <c r="D538" s="6">
        <v>99.318299999999994</v>
      </c>
      <c r="E538" s="5">
        <v>6.43</v>
      </c>
      <c r="F538" s="5">
        <v>5.51</v>
      </c>
      <c r="G538" s="5">
        <f t="shared" si="8"/>
        <v>0.91999999999999993</v>
      </c>
      <c r="H538" s="6">
        <v>1150.8734999999999</v>
      </c>
      <c r="I538" s="7">
        <v>1335.84997558593</v>
      </c>
      <c r="J538" s="7">
        <v>10.1678813176084</v>
      </c>
      <c r="K538" s="7">
        <v>0</v>
      </c>
    </row>
    <row r="539" spans="1:11" x14ac:dyDescent="0.3">
      <c r="A539" s="4">
        <v>38991</v>
      </c>
      <c r="B539" s="5">
        <v>5.25</v>
      </c>
      <c r="C539" s="11">
        <v>201.9</v>
      </c>
      <c r="D539" s="6">
        <v>99.204400000000007</v>
      </c>
      <c r="E539" s="5">
        <v>6.42</v>
      </c>
      <c r="F539" s="5">
        <v>5.51</v>
      </c>
      <c r="G539" s="5">
        <f t="shared" si="8"/>
        <v>0.91000000000000014</v>
      </c>
      <c r="H539" s="6">
        <v>1161.5391999999999</v>
      </c>
      <c r="I539" s="7">
        <v>1377.93994140625</v>
      </c>
      <c r="J539" s="7">
        <v>8.8068987834848098</v>
      </c>
      <c r="K539" s="7">
        <v>0</v>
      </c>
    </row>
    <row r="540" spans="1:11" x14ac:dyDescent="0.3">
      <c r="A540" s="4">
        <v>39022</v>
      </c>
      <c r="B540" s="5">
        <v>5.25</v>
      </c>
      <c r="C540" s="11">
        <v>202</v>
      </c>
      <c r="D540" s="6">
        <v>99.162700000000001</v>
      </c>
      <c r="E540" s="5">
        <v>6.2</v>
      </c>
      <c r="F540" s="5">
        <v>5.33</v>
      </c>
      <c r="G540" s="5">
        <f t="shared" si="8"/>
        <v>0.87000000000000011</v>
      </c>
      <c r="H540" s="6">
        <v>1170.5211999999999</v>
      </c>
      <c r="I540" s="7">
        <v>1400.63000488281</v>
      </c>
      <c r="J540" s="7">
        <v>10.7975346679334</v>
      </c>
      <c r="K540" s="7">
        <v>0</v>
      </c>
    </row>
    <row r="541" spans="1:11" x14ac:dyDescent="0.3">
      <c r="A541" s="4">
        <v>39052</v>
      </c>
      <c r="B541" s="5">
        <v>5.24</v>
      </c>
      <c r="C541" s="11">
        <v>203.1</v>
      </c>
      <c r="D541" s="6">
        <v>100.1735</v>
      </c>
      <c r="E541" s="5">
        <v>6.22</v>
      </c>
      <c r="F541" s="5">
        <v>5.32</v>
      </c>
      <c r="G541" s="5">
        <f t="shared" si="8"/>
        <v>0.89999999999999947</v>
      </c>
      <c r="H541" s="6">
        <v>1182.8014000000001</v>
      </c>
      <c r="I541" s="7">
        <v>1418.30004882812</v>
      </c>
      <c r="J541" s="7">
        <v>8.5945016142787694</v>
      </c>
      <c r="K541" s="7">
        <v>0</v>
      </c>
    </row>
    <row r="542" spans="1:11" x14ac:dyDescent="0.3">
      <c r="A542" s="4">
        <v>39083</v>
      </c>
      <c r="B542" s="5">
        <v>5.25</v>
      </c>
      <c r="C542" s="11">
        <v>203.43700000000001</v>
      </c>
      <c r="D542" s="6">
        <v>99.834599999999995</v>
      </c>
      <c r="E542" s="5">
        <v>6.34</v>
      </c>
      <c r="F542" s="5">
        <v>5.4</v>
      </c>
      <c r="G542" s="5">
        <f t="shared" si="8"/>
        <v>0.9399999999999995</v>
      </c>
      <c r="H542" s="6">
        <v>1192.29</v>
      </c>
      <c r="I542" s="7">
        <v>1438.23999023437</v>
      </c>
      <c r="J542" s="7">
        <v>9.6723700089492493</v>
      </c>
      <c r="K542" s="7">
        <v>0</v>
      </c>
    </row>
    <row r="543" spans="1:11" x14ac:dyDescent="0.3">
      <c r="A543" s="4">
        <v>39114</v>
      </c>
      <c r="B543" s="5">
        <v>5.26</v>
      </c>
      <c r="C543" s="11">
        <v>204.226</v>
      </c>
      <c r="D543" s="6">
        <v>100.7753</v>
      </c>
      <c r="E543" s="5">
        <v>6.28</v>
      </c>
      <c r="F543" s="5">
        <v>5.39</v>
      </c>
      <c r="G543" s="5">
        <f t="shared" si="8"/>
        <v>0.89000000000000057</v>
      </c>
      <c r="H543" s="6">
        <v>1204.8529000000001</v>
      </c>
      <c r="I543" s="7">
        <v>1406.81994628906</v>
      </c>
      <c r="J543" s="7">
        <v>18.287415231592501</v>
      </c>
      <c r="K543" s="7">
        <v>0</v>
      </c>
    </row>
    <row r="544" spans="1:11" x14ac:dyDescent="0.3">
      <c r="A544" s="4">
        <v>39142</v>
      </c>
      <c r="B544" s="5">
        <v>5.26</v>
      </c>
      <c r="C544" s="11">
        <v>205.28800000000001</v>
      </c>
      <c r="D544" s="6">
        <v>100.9547</v>
      </c>
      <c r="E544" s="5">
        <v>6.27</v>
      </c>
      <c r="F544" s="5">
        <v>5.3</v>
      </c>
      <c r="G544" s="5">
        <f t="shared" si="8"/>
        <v>0.96999999999999975</v>
      </c>
      <c r="H544" s="6">
        <v>1215.6537000000001</v>
      </c>
      <c r="I544" s="7">
        <v>1420.85998535156</v>
      </c>
      <c r="J544" s="7">
        <v>17.435371446834001</v>
      </c>
      <c r="K544" s="7">
        <v>0</v>
      </c>
    </row>
    <row r="545" spans="1:11" x14ac:dyDescent="0.3">
      <c r="A545" s="4">
        <v>39173</v>
      </c>
      <c r="B545" s="5">
        <v>5.25</v>
      </c>
      <c r="C545" s="11">
        <v>205.904</v>
      </c>
      <c r="D545" s="6">
        <v>101.63339999999999</v>
      </c>
      <c r="E545" s="5">
        <v>6.39</v>
      </c>
      <c r="F545" s="5">
        <v>5.47</v>
      </c>
      <c r="G545" s="5">
        <f t="shared" si="8"/>
        <v>0.91999999999999993</v>
      </c>
      <c r="H545" s="6">
        <v>1226.6366</v>
      </c>
      <c r="I545" s="7">
        <v>1482.36999511718</v>
      </c>
      <c r="J545" s="7">
        <v>10.1668686844953</v>
      </c>
      <c r="K545" s="7">
        <v>0</v>
      </c>
    </row>
    <row r="546" spans="1:11" x14ac:dyDescent="0.3">
      <c r="A546" s="4">
        <v>39203</v>
      </c>
      <c r="B546" s="5">
        <v>5.25</v>
      </c>
      <c r="C546" s="11">
        <v>206.755</v>
      </c>
      <c r="D546" s="6">
        <v>101.7306</v>
      </c>
      <c r="E546" s="5">
        <v>6.39</v>
      </c>
      <c r="F546" s="5">
        <v>5.47</v>
      </c>
      <c r="G546" s="5">
        <f t="shared" si="8"/>
        <v>0.91999999999999993</v>
      </c>
      <c r="H546" s="6">
        <v>1244.7308</v>
      </c>
      <c r="I546" s="7">
        <v>1530.61999511718</v>
      </c>
      <c r="J546" s="7">
        <v>11.175080854106801</v>
      </c>
      <c r="K546" s="7">
        <v>0</v>
      </c>
    </row>
    <row r="547" spans="1:11" x14ac:dyDescent="0.3">
      <c r="A547" s="4">
        <v>39234</v>
      </c>
      <c r="B547" s="5">
        <v>5.25</v>
      </c>
      <c r="C547" s="11">
        <v>207.23400000000001</v>
      </c>
      <c r="D547" s="6">
        <v>101.7893</v>
      </c>
      <c r="E547" s="5">
        <v>6.7</v>
      </c>
      <c r="F547" s="5">
        <v>5.79</v>
      </c>
      <c r="G547" s="5">
        <f t="shared" si="8"/>
        <v>0.91000000000000014</v>
      </c>
      <c r="H547" s="6">
        <v>1263.9332999999999</v>
      </c>
      <c r="I547" s="7">
        <v>1503.34997558593</v>
      </c>
      <c r="J547" s="7">
        <v>17.170811242594599</v>
      </c>
      <c r="K547" s="7">
        <v>0</v>
      </c>
    </row>
    <row r="548" spans="1:11" x14ac:dyDescent="0.3">
      <c r="A548" s="4">
        <v>39264</v>
      </c>
      <c r="B548" s="5">
        <v>5.26</v>
      </c>
      <c r="C548" s="11">
        <v>207.60300000000001</v>
      </c>
      <c r="D548" s="6">
        <v>101.66719999999999</v>
      </c>
      <c r="E548" s="5">
        <v>6.65</v>
      </c>
      <c r="F548" s="5">
        <v>5.73</v>
      </c>
      <c r="G548" s="5">
        <f t="shared" si="8"/>
        <v>0.91999999999999993</v>
      </c>
      <c r="H548" s="6">
        <v>1281.8643999999999</v>
      </c>
      <c r="I548" s="7">
        <v>1455.27001953125</v>
      </c>
      <c r="J548" s="7">
        <v>21.982959781077501</v>
      </c>
      <c r="K548" s="7">
        <v>1</v>
      </c>
    </row>
    <row r="549" spans="1:11" x14ac:dyDescent="0.3">
      <c r="A549" s="4">
        <v>39295</v>
      </c>
      <c r="B549" s="5">
        <v>5.0199999999999996</v>
      </c>
      <c r="C549" s="11">
        <v>207.667</v>
      </c>
      <c r="D549" s="6">
        <v>101.863</v>
      </c>
      <c r="E549" s="5">
        <v>6.65</v>
      </c>
      <c r="F549" s="5">
        <v>5.79</v>
      </c>
      <c r="G549" s="5">
        <f t="shared" si="8"/>
        <v>0.86000000000000032</v>
      </c>
      <c r="H549" s="6">
        <v>1306.9108000000001</v>
      </c>
      <c r="I549" s="7">
        <v>1473.98999023437</v>
      </c>
      <c r="J549" s="7">
        <v>30.712706107066101</v>
      </c>
      <c r="K549" s="7">
        <v>1</v>
      </c>
    </row>
    <row r="550" spans="1:11" x14ac:dyDescent="0.3">
      <c r="A550" s="4">
        <v>39326</v>
      </c>
      <c r="B550" s="5">
        <v>4.9400000000000004</v>
      </c>
      <c r="C550" s="11">
        <v>208.547</v>
      </c>
      <c r="D550" s="6">
        <v>102.0894</v>
      </c>
      <c r="E550" s="5">
        <v>6.59</v>
      </c>
      <c r="F550" s="5">
        <v>5.74</v>
      </c>
      <c r="G550" s="5">
        <f t="shared" si="8"/>
        <v>0.84999999999999964</v>
      </c>
      <c r="H550" s="6">
        <v>1349.6079999999999</v>
      </c>
      <c r="I550" s="7">
        <v>1526.75</v>
      </c>
      <c r="J550" s="7">
        <v>19.971129235140701</v>
      </c>
      <c r="K550" s="7">
        <v>0</v>
      </c>
    </row>
    <row r="551" spans="1:11" x14ac:dyDescent="0.3">
      <c r="A551" s="4">
        <v>39356</v>
      </c>
      <c r="B551" s="5">
        <v>4.76</v>
      </c>
      <c r="C551" s="11">
        <v>209.19</v>
      </c>
      <c r="D551" s="6">
        <v>101.8015</v>
      </c>
      <c r="E551" s="5">
        <v>6.48</v>
      </c>
      <c r="F551" s="5">
        <v>5.66</v>
      </c>
      <c r="G551" s="5">
        <f t="shared" si="8"/>
        <v>0.82000000000000028</v>
      </c>
      <c r="H551" s="6">
        <v>1375.0587</v>
      </c>
      <c r="I551" s="7">
        <v>1549.38000488281</v>
      </c>
      <c r="J551" s="7">
        <v>17.559948041138998</v>
      </c>
      <c r="K551" s="7">
        <v>0</v>
      </c>
    </row>
    <row r="552" spans="1:11" x14ac:dyDescent="0.3">
      <c r="A552" s="4">
        <v>39387</v>
      </c>
      <c r="B552" s="5">
        <v>4.49</v>
      </c>
      <c r="C552" s="11">
        <v>210.834</v>
      </c>
      <c r="D552" s="6">
        <v>102.3446</v>
      </c>
      <c r="E552" s="5">
        <v>6.4</v>
      </c>
      <c r="F552" s="5">
        <v>5.44</v>
      </c>
      <c r="G552" s="5">
        <f t="shared" si="8"/>
        <v>0.96</v>
      </c>
      <c r="H552" s="6">
        <v>1394.4104</v>
      </c>
      <c r="I552" s="7">
        <v>1481.14001464843</v>
      </c>
      <c r="J552" s="7">
        <v>33.463889458248801</v>
      </c>
      <c r="K552" s="7">
        <v>1</v>
      </c>
    </row>
    <row r="553" spans="1:11" x14ac:dyDescent="0.3">
      <c r="A553" s="4">
        <v>39417</v>
      </c>
      <c r="B553" s="5">
        <v>4.24</v>
      </c>
      <c r="C553" s="11">
        <v>211.44499999999999</v>
      </c>
      <c r="D553" s="6">
        <v>102.38030000000001</v>
      </c>
      <c r="E553" s="5">
        <v>6.65</v>
      </c>
      <c r="F553" s="5">
        <v>5.49</v>
      </c>
      <c r="G553" s="5">
        <f t="shared" si="8"/>
        <v>1.1600000000000001</v>
      </c>
      <c r="H553" s="6">
        <v>1418.0137</v>
      </c>
      <c r="I553" s="7">
        <v>1468.35998535156</v>
      </c>
      <c r="J553" s="7">
        <v>22.3604563326926</v>
      </c>
      <c r="K553" s="7">
        <v>1</v>
      </c>
    </row>
    <row r="554" spans="1:11" x14ac:dyDescent="0.3">
      <c r="A554" s="4">
        <v>39448</v>
      </c>
      <c r="B554" s="5">
        <v>3.94</v>
      </c>
      <c r="C554" s="11">
        <v>212.17400000000001</v>
      </c>
      <c r="D554" s="6">
        <v>102.2448</v>
      </c>
      <c r="E554" s="5">
        <v>6.54</v>
      </c>
      <c r="F554" s="5">
        <v>5.33</v>
      </c>
      <c r="G554" s="5">
        <f t="shared" si="8"/>
        <v>1.21</v>
      </c>
      <c r="H554" s="6">
        <v>1440.7731000000001</v>
      </c>
      <c r="I554" s="7">
        <v>1378.55004882812</v>
      </c>
      <c r="J554" s="7">
        <v>30.745208045216401</v>
      </c>
      <c r="K554" s="7">
        <v>1</v>
      </c>
    </row>
    <row r="555" spans="1:11" x14ac:dyDescent="0.3">
      <c r="A555" s="4">
        <v>39479</v>
      </c>
      <c r="B555" s="5">
        <v>2.98</v>
      </c>
      <c r="C555" s="11">
        <v>212.68700000000001</v>
      </c>
      <c r="D555" s="6">
        <v>101.8438</v>
      </c>
      <c r="E555" s="5">
        <v>6.82</v>
      </c>
      <c r="F555" s="5">
        <v>5.53</v>
      </c>
      <c r="G555" s="5">
        <f t="shared" si="8"/>
        <v>1.29</v>
      </c>
      <c r="H555" s="6">
        <v>1448.8634</v>
      </c>
      <c r="I555" s="7">
        <v>1330.63000488281</v>
      </c>
      <c r="J555" s="7">
        <v>26.113681298127499</v>
      </c>
      <c r="K555" s="7">
        <v>1</v>
      </c>
    </row>
    <row r="556" spans="1:11" x14ac:dyDescent="0.3">
      <c r="A556" s="4">
        <v>39508</v>
      </c>
      <c r="B556" s="5">
        <v>2.61</v>
      </c>
      <c r="C556" s="11">
        <v>213.44800000000001</v>
      </c>
      <c r="D556" s="6">
        <v>101.53360000000001</v>
      </c>
      <c r="E556" s="5">
        <v>6.89</v>
      </c>
      <c r="F556" s="5">
        <v>5.51</v>
      </c>
      <c r="G556" s="5">
        <f t="shared" si="8"/>
        <v>1.38</v>
      </c>
      <c r="H556" s="6">
        <v>1470.5797</v>
      </c>
      <c r="I556" s="7">
        <v>1322.69995117187</v>
      </c>
      <c r="J556" s="7">
        <v>36.377965814456097</v>
      </c>
      <c r="K556" s="7">
        <v>1</v>
      </c>
    </row>
    <row r="557" spans="1:11" x14ac:dyDescent="0.3">
      <c r="A557" s="4">
        <v>39539</v>
      </c>
      <c r="B557" s="5">
        <v>2.2799999999999998</v>
      </c>
      <c r="C557" s="11">
        <v>213.94200000000001</v>
      </c>
      <c r="D557" s="6">
        <v>100.8785</v>
      </c>
      <c r="E557" s="5">
        <v>6.97</v>
      </c>
      <c r="F557" s="5">
        <v>5.55</v>
      </c>
      <c r="G557" s="5">
        <f t="shared" si="8"/>
        <v>1.42</v>
      </c>
      <c r="H557" s="6">
        <v>1490.1960999999999</v>
      </c>
      <c r="I557" s="7">
        <v>1385.58996582031</v>
      </c>
      <c r="J557" s="7">
        <v>22.9855883692641</v>
      </c>
      <c r="K557" s="7">
        <v>1</v>
      </c>
    </row>
    <row r="558" spans="1:11" x14ac:dyDescent="0.3">
      <c r="A558" s="4">
        <v>39569</v>
      </c>
      <c r="B558" s="5">
        <v>1.98</v>
      </c>
      <c r="C558" s="11">
        <v>215.208</v>
      </c>
      <c r="D558" s="6">
        <v>100.26739999999999</v>
      </c>
      <c r="E558" s="5">
        <v>6.93</v>
      </c>
      <c r="F558" s="5">
        <v>5.57</v>
      </c>
      <c r="G558" s="5">
        <f t="shared" si="8"/>
        <v>1.3599999999999994</v>
      </c>
      <c r="H558" s="6">
        <v>1491.5274999999999</v>
      </c>
      <c r="I558" s="7">
        <v>1400.38000488281</v>
      </c>
      <c r="J558" s="7">
        <v>18.181676763697201</v>
      </c>
      <c r="K558" s="7">
        <v>0</v>
      </c>
    </row>
    <row r="559" spans="1:11" x14ac:dyDescent="0.3">
      <c r="A559" s="4">
        <v>39600</v>
      </c>
      <c r="B559" s="5">
        <v>2</v>
      </c>
      <c r="C559" s="11">
        <v>217.46299999999999</v>
      </c>
      <c r="D559" s="6">
        <v>100.0335</v>
      </c>
      <c r="E559" s="5">
        <v>7.07</v>
      </c>
      <c r="F559" s="5">
        <v>5.68</v>
      </c>
      <c r="G559" s="5">
        <f t="shared" si="8"/>
        <v>1.3900000000000006</v>
      </c>
      <c r="H559" s="6">
        <v>1498.3047999999999</v>
      </c>
      <c r="I559" s="7">
        <v>1280</v>
      </c>
      <c r="J559" s="7">
        <v>24.9938572998546</v>
      </c>
      <c r="K559" s="7">
        <v>1</v>
      </c>
    </row>
    <row r="560" spans="1:11" x14ac:dyDescent="0.3">
      <c r="A560" s="4">
        <v>39630</v>
      </c>
      <c r="B560" s="5">
        <v>2.0099999999999998</v>
      </c>
      <c r="C560" s="11">
        <v>219.01599999999999</v>
      </c>
      <c r="D560" s="6">
        <v>99.676000000000002</v>
      </c>
      <c r="E560" s="5">
        <v>7.16</v>
      </c>
      <c r="F560" s="5">
        <v>5.67</v>
      </c>
      <c r="G560" s="5">
        <f t="shared" si="8"/>
        <v>1.4900000000000002</v>
      </c>
      <c r="H560" s="6">
        <v>1512.2657999999999</v>
      </c>
      <c r="I560" s="7">
        <v>1267.38000488281</v>
      </c>
      <c r="J560" s="7">
        <v>29.266657715364602</v>
      </c>
      <c r="K560" s="7">
        <v>1</v>
      </c>
    </row>
    <row r="561" spans="1:11" x14ac:dyDescent="0.3">
      <c r="A561" s="4">
        <v>39661</v>
      </c>
      <c r="B561" s="5">
        <v>2</v>
      </c>
      <c r="C561" s="11">
        <v>218.69</v>
      </c>
      <c r="D561" s="6">
        <v>98.111099999999993</v>
      </c>
      <c r="E561" s="5">
        <v>7.15</v>
      </c>
      <c r="F561" s="5">
        <v>5.64</v>
      </c>
      <c r="G561" s="5">
        <f t="shared" si="8"/>
        <v>1.5100000000000007</v>
      </c>
      <c r="H561" s="6">
        <v>1512.8681999999999</v>
      </c>
      <c r="I561" s="7">
        <v>1282.82995605468</v>
      </c>
      <c r="J561" s="7">
        <v>26.258004596612999</v>
      </c>
      <c r="K561" s="7">
        <v>1</v>
      </c>
    </row>
    <row r="562" spans="1:11" x14ac:dyDescent="0.3">
      <c r="A562" s="4">
        <v>39692</v>
      </c>
      <c r="B562" s="5">
        <v>1.81</v>
      </c>
      <c r="C562" s="11">
        <v>218.87700000000001</v>
      </c>
      <c r="D562" s="6">
        <v>93.789500000000004</v>
      </c>
      <c r="E562" s="5">
        <v>7.31</v>
      </c>
      <c r="F562" s="5">
        <v>5.65</v>
      </c>
      <c r="G562" s="5">
        <f t="shared" si="8"/>
        <v>1.6599999999999993</v>
      </c>
      <c r="H562" s="6">
        <v>1530.4048</v>
      </c>
      <c r="I562" s="7">
        <v>1166.35998535156</v>
      </c>
      <c r="J562" s="7">
        <v>69.757935811011805</v>
      </c>
      <c r="K562" s="7">
        <v>1</v>
      </c>
    </row>
    <row r="563" spans="1:11" x14ac:dyDescent="0.3">
      <c r="A563" s="4">
        <v>39722</v>
      </c>
      <c r="B563" s="5">
        <v>0.97</v>
      </c>
      <c r="C563" s="11">
        <v>216.995</v>
      </c>
      <c r="D563" s="6">
        <v>94.721900000000005</v>
      </c>
      <c r="E563" s="5">
        <v>8.8800000000000008</v>
      </c>
      <c r="F563" s="5">
        <v>6.28</v>
      </c>
      <c r="G563" s="5">
        <f t="shared" si="8"/>
        <v>2.6000000000000005</v>
      </c>
      <c r="H563" s="6">
        <v>1586.9164000000001</v>
      </c>
      <c r="I563" s="7">
        <v>968.75</v>
      </c>
      <c r="J563" s="7">
        <v>101.10755120589</v>
      </c>
      <c r="K563" s="7">
        <v>1</v>
      </c>
    </row>
    <row r="564" spans="1:11" x14ac:dyDescent="0.3">
      <c r="A564" s="4">
        <v>39753</v>
      </c>
      <c r="B564" s="5">
        <v>0.39</v>
      </c>
      <c r="C564" s="11">
        <v>213.15299999999999</v>
      </c>
      <c r="D564" s="6">
        <v>93.471500000000006</v>
      </c>
      <c r="E564" s="5">
        <v>9.2100000000000009</v>
      </c>
      <c r="F564" s="5">
        <v>6.12</v>
      </c>
      <c r="G564" s="5">
        <f t="shared" si="8"/>
        <v>3.0900000000000007</v>
      </c>
      <c r="H564" s="6">
        <v>1576.3300999999999</v>
      </c>
      <c r="I564" s="7">
        <v>896.239990234375</v>
      </c>
      <c r="J564" s="7">
        <v>89.906975340427493</v>
      </c>
      <c r="K564" s="7">
        <v>1</v>
      </c>
    </row>
    <row r="565" spans="1:11" x14ac:dyDescent="0.3">
      <c r="A565" s="4">
        <v>39783</v>
      </c>
      <c r="B565" s="5">
        <v>0.16</v>
      </c>
      <c r="C565" s="11">
        <v>211.398</v>
      </c>
      <c r="D565" s="6">
        <v>90.835700000000003</v>
      </c>
      <c r="E565" s="5">
        <v>8.43</v>
      </c>
      <c r="F565" s="5">
        <v>5.05</v>
      </c>
      <c r="G565" s="5">
        <f t="shared" si="8"/>
        <v>3.38</v>
      </c>
      <c r="H565" s="6">
        <v>1559.194</v>
      </c>
      <c r="I565" s="7">
        <v>903.25</v>
      </c>
      <c r="J565" s="7">
        <v>62.9013656005163</v>
      </c>
      <c r="K565" s="7">
        <v>1</v>
      </c>
    </row>
    <row r="566" spans="1:11" x14ac:dyDescent="0.3">
      <c r="A566" s="4">
        <v>39814</v>
      </c>
      <c r="B566" s="5">
        <v>0.15</v>
      </c>
      <c r="C566" s="11">
        <v>211.93299999999999</v>
      </c>
      <c r="D566" s="6">
        <v>88.57</v>
      </c>
      <c r="E566" s="5">
        <v>8.14</v>
      </c>
      <c r="F566" s="5">
        <v>5.05</v>
      </c>
      <c r="G566" s="5">
        <f t="shared" si="8"/>
        <v>3.0900000000000007</v>
      </c>
      <c r="H566" s="6">
        <v>1544.5985000000001</v>
      </c>
      <c r="I566" s="7">
        <v>825.88000488281205</v>
      </c>
      <c r="J566" s="7">
        <v>49.8540682487033</v>
      </c>
      <c r="K566" s="7">
        <v>1</v>
      </c>
    </row>
    <row r="567" spans="1:11" x14ac:dyDescent="0.3">
      <c r="A567" s="4">
        <v>39845</v>
      </c>
      <c r="B567" s="5">
        <v>0.22</v>
      </c>
      <c r="C567" s="11">
        <v>212.70500000000001</v>
      </c>
      <c r="D567" s="6">
        <v>88.031000000000006</v>
      </c>
      <c r="E567" s="5">
        <v>8.08</v>
      </c>
      <c r="F567" s="5">
        <v>5.27</v>
      </c>
      <c r="G567" s="5">
        <f t="shared" si="8"/>
        <v>2.8100000000000005</v>
      </c>
      <c r="H567" s="6">
        <v>1532.4425000000001</v>
      </c>
      <c r="I567" s="7">
        <v>735.09002685546795</v>
      </c>
      <c r="J567" s="7">
        <v>45.990705269089602</v>
      </c>
      <c r="K567" s="7">
        <v>1</v>
      </c>
    </row>
    <row r="568" spans="1:11" x14ac:dyDescent="0.3">
      <c r="A568" s="4">
        <v>39873</v>
      </c>
      <c r="B568" s="5">
        <v>0.18</v>
      </c>
      <c r="C568" s="11">
        <v>212.495</v>
      </c>
      <c r="D568" s="6">
        <v>86.652799999999999</v>
      </c>
      <c r="E568" s="5">
        <v>8.42</v>
      </c>
      <c r="F568" s="5">
        <v>5.5</v>
      </c>
      <c r="G568" s="5">
        <f t="shared" si="8"/>
        <v>2.92</v>
      </c>
      <c r="H568" s="6">
        <v>1511.0127</v>
      </c>
      <c r="I568" s="7">
        <v>797.86999511718705</v>
      </c>
      <c r="J568" s="7">
        <v>61.340001222492297</v>
      </c>
      <c r="K568" s="7">
        <v>1</v>
      </c>
    </row>
    <row r="569" spans="1:11" x14ac:dyDescent="0.3">
      <c r="A569" s="4">
        <v>39904</v>
      </c>
      <c r="B569" s="5">
        <v>0.15</v>
      </c>
      <c r="C569" s="11">
        <v>212.709</v>
      </c>
      <c r="D569" s="6">
        <v>85.934399999999997</v>
      </c>
      <c r="E569" s="5">
        <v>8.39</v>
      </c>
      <c r="F569" s="5">
        <v>5.39</v>
      </c>
      <c r="G569" s="5">
        <f t="shared" si="8"/>
        <v>3.0000000000000009</v>
      </c>
      <c r="H569" s="6">
        <v>1491.6469999999999</v>
      </c>
      <c r="I569" s="7">
        <v>872.80999755859295</v>
      </c>
      <c r="J569" s="7">
        <v>37.981780479318402</v>
      </c>
      <c r="K569" s="7">
        <v>1</v>
      </c>
    </row>
    <row r="570" spans="1:11" x14ac:dyDescent="0.3">
      <c r="A570" s="4">
        <v>39934</v>
      </c>
      <c r="B570" s="5">
        <v>0.18</v>
      </c>
      <c r="C570" s="11">
        <v>213.02199999999999</v>
      </c>
      <c r="D570" s="6">
        <v>85.066500000000005</v>
      </c>
      <c r="E570" s="5">
        <v>8.06</v>
      </c>
      <c r="F570" s="5">
        <v>5.54</v>
      </c>
      <c r="G570" s="5">
        <f t="shared" si="8"/>
        <v>2.5200000000000005</v>
      </c>
      <c r="H570" s="6">
        <v>1469.7131999999999</v>
      </c>
      <c r="I570" s="7">
        <v>919.14001464843705</v>
      </c>
      <c r="J570" s="7">
        <v>36.218936077657098</v>
      </c>
      <c r="K570" s="7">
        <v>1</v>
      </c>
    </row>
    <row r="571" spans="1:11" x14ac:dyDescent="0.3">
      <c r="A571" s="4">
        <v>39965</v>
      </c>
      <c r="B571" s="5">
        <v>0.21</v>
      </c>
      <c r="C571" s="11">
        <v>214.79</v>
      </c>
      <c r="D571" s="6">
        <v>84.745900000000006</v>
      </c>
      <c r="E571" s="5">
        <v>7.5</v>
      </c>
      <c r="F571" s="5">
        <v>5.61</v>
      </c>
      <c r="G571" s="5">
        <f t="shared" si="8"/>
        <v>1.8899999999999997</v>
      </c>
      <c r="H571" s="6">
        <v>1436.3434</v>
      </c>
      <c r="I571" s="7">
        <v>919.32000732421795</v>
      </c>
      <c r="J571" s="7">
        <v>25.884833076702201</v>
      </c>
      <c r="K571" s="7">
        <v>1</v>
      </c>
    </row>
    <row r="572" spans="1:11" x14ac:dyDescent="0.3">
      <c r="A572" s="4">
        <v>39995</v>
      </c>
      <c r="B572" s="5">
        <v>0.16</v>
      </c>
      <c r="C572" s="11">
        <v>214.726</v>
      </c>
      <c r="D572" s="6">
        <v>85.702699999999993</v>
      </c>
      <c r="E572" s="5">
        <v>7.09</v>
      </c>
      <c r="F572" s="5">
        <v>5.41</v>
      </c>
      <c r="G572" s="5">
        <f t="shared" si="8"/>
        <v>1.6799999999999997</v>
      </c>
      <c r="H572" s="6">
        <v>1395.4735000000001</v>
      </c>
      <c r="I572" s="7">
        <v>987.47998046875</v>
      </c>
      <c r="J572" s="7">
        <v>25.972413258727901</v>
      </c>
      <c r="K572" s="7">
        <v>1</v>
      </c>
    </row>
    <row r="573" spans="1:11" x14ac:dyDescent="0.3">
      <c r="A573" s="4">
        <v>40026</v>
      </c>
      <c r="B573" s="5">
        <v>0.16</v>
      </c>
      <c r="C573" s="11">
        <v>215.44499999999999</v>
      </c>
      <c r="D573" s="6">
        <v>86.642600000000002</v>
      </c>
      <c r="E573" s="5">
        <v>6.58</v>
      </c>
      <c r="F573" s="5">
        <v>5.26</v>
      </c>
      <c r="G573" s="5">
        <f t="shared" si="8"/>
        <v>1.3200000000000003</v>
      </c>
      <c r="H573" s="6">
        <v>1362.9194</v>
      </c>
      <c r="I573" s="7">
        <v>1020.61999511718</v>
      </c>
      <c r="J573" s="7">
        <v>20.703271156295202</v>
      </c>
      <c r="K573" s="7">
        <v>0</v>
      </c>
    </row>
    <row r="574" spans="1:11" x14ac:dyDescent="0.3">
      <c r="A574" s="4">
        <v>40057</v>
      </c>
      <c r="B574" s="5">
        <v>0.15</v>
      </c>
      <c r="C574" s="11">
        <v>215.86099999999999</v>
      </c>
      <c r="D574" s="6">
        <v>87.406300000000002</v>
      </c>
      <c r="E574" s="5">
        <v>6.31</v>
      </c>
      <c r="F574" s="5">
        <v>5.13</v>
      </c>
      <c r="G574" s="5">
        <f t="shared" si="8"/>
        <v>1.1799999999999997</v>
      </c>
      <c r="H574" s="6">
        <v>1337.3367000000001</v>
      </c>
      <c r="I574" s="7">
        <v>1057.07995605468</v>
      </c>
      <c r="J574" s="7">
        <v>19.3209377595382</v>
      </c>
      <c r="K574" s="7">
        <v>0</v>
      </c>
    </row>
    <row r="575" spans="1:11" x14ac:dyDescent="0.3">
      <c r="A575" s="4">
        <v>40087</v>
      </c>
      <c r="B575" s="5">
        <v>0.12</v>
      </c>
      <c r="C575" s="11">
        <v>216.50899999999999</v>
      </c>
      <c r="D575" s="6">
        <v>87.641900000000007</v>
      </c>
      <c r="E575" s="5">
        <v>6.29</v>
      </c>
      <c r="F575" s="5">
        <v>5.15</v>
      </c>
      <c r="G575" s="5">
        <f t="shared" si="8"/>
        <v>1.1399999999999997</v>
      </c>
      <c r="H575" s="6">
        <v>1308.1789000000001</v>
      </c>
      <c r="I575" s="7">
        <v>1036.18994140625</v>
      </c>
      <c r="J575" s="7">
        <v>27.385123004147399</v>
      </c>
      <c r="K575" s="7">
        <v>1</v>
      </c>
    </row>
    <row r="576" spans="1:11" x14ac:dyDescent="0.3">
      <c r="A576" s="4">
        <v>40118</v>
      </c>
      <c r="B576" s="5">
        <v>0.12</v>
      </c>
      <c r="C576" s="11">
        <v>217.23400000000001</v>
      </c>
      <c r="D576" s="6">
        <v>88.022099999999995</v>
      </c>
      <c r="E576" s="5">
        <v>6.32</v>
      </c>
      <c r="F576" s="5">
        <v>5.19</v>
      </c>
      <c r="G576" s="5">
        <f t="shared" si="8"/>
        <v>1.1299999999999999</v>
      </c>
      <c r="H576" s="6">
        <v>1290.6774</v>
      </c>
      <c r="I576" s="7">
        <v>1095.63000488281</v>
      </c>
      <c r="J576" s="7">
        <v>19.704976908986598</v>
      </c>
      <c r="K576" s="7">
        <v>0</v>
      </c>
    </row>
    <row r="577" spans="1:11" x14ac:dyDescent="0.3">
      <c r="A577" s="4">
        <v>40148</v>
      </c>
      <c r="B577" s="5">
        <v>0.12</v>
      </c>
      <c r="C577" s="11">
        <v>217.34700000000001</v>
      </c>
      <c r="D577" s="6">
        <v>88.379300000000001</v>
      </c>
      <c r="E577" s="5">
        <v>6.37</v>
      </c>
      <c r="F577" s="5">
        <v>5.26</v>
      </c>
      <c r="G577" s="5">
        <f t="shared" si="8"/>
        <v>1.1100000000000003</v>
      </c>
      <c r="H577" s="6">
        <v>1265.5793000000001</v>
      </c>
      <c r="I577" s="7">
        <v>1115.09997558593</v>
      </c>
      <c r="J577" s="7">
        <v>13.2863521817129</v>
      </c>
      <c r="K577" s="7">
        <v>0</v>
      </c>
    </row>
    <row r="578" spans="1:11" x14ac:dyDescent="0.3">
      <c r="A578" s="4">
        <v>40179</v>
      </c>
      <c r="B578" s="5">
        <v>0.11</v>
      </c>
      <c r="C578" s="11">
        <v>217.488</v>
      </c>
      <c r="D578" s="6">
        <v>89.342600000000004</v>
      </c>
      <c r="E578" s="5">
        <v>6.25</v>
      </c>
      <c r="F578" s="5">
        <v>5.26</v>
      </c>
      <c r="G578" s="5">
        <f t="shared" si="8"/>
        <v>0.99000000000000021</v>
      </c>
      <c r="H578" s="6">
        <v>1238.5211999999999</v>
      </c>
      <c r="I578" s="7">
        <v>1073.86999511718</v>
      </c>
      <c r="J578" s="7">
        <v>20.809800511189199</v>
      </c>
      <c r="K578" s="7">
        <v>0</v>
      </c>
    </row>
    <row r="579" spans="1:11" x14ac:dyDescent="0.3">
      <c r="A579" s="4">
        <v>40210</v>
      </c>
      <c r="B579" s="5">
        <v>0.13</v>
      </c>
      <c r="C579" s="11">
        <v>217.28100000000001</v>
      </c>
      <c r="D579" s="6">
        <v>89.677899999999994</v>
      </c>
      <c r="E579" s="5">
        <v>6.34</v>
      </c>
      <c r="F579" s="5">
        <v>5.35</v>
      </c>
      <c r="G579" s="5">
        <f t="shared" ref="G579:G642" si="9">E579-F579</f>
        <v>0.99000000000000021</v>
      </c>
      <c r="H579" s="6">
        <v>1223.367</v>
      </c>
      <c r="I579" s="7">
        <v>1104.48999023437</v>
      </c>
      <c r="J579" s="7">
        <v>22.939766281866198</v>
      </c>
      <c r="K579" s="7">
        <v>1</v>
      </c>
    </row>
    <row r="580" spans="1:11" x14ac:dyDescent="0.3">
      <c r="A580" s="4">
        <v>40238</v>
      </c>
      <c r="B580" s="5">
        <v>0.16</v>
      </c>
      <c r="C580" s="11">
        <v>217.35300000000001</v>
      </c>
      <c r="D580" s="6">
        <v>90.2928</v>
      </c>
      <c r="E580" s="5">
        <v>6.27</v>
      </c>
      <c r="F580" s="5">
        <v>5.27</v>
      </c>
      <c r="G580" s="5">
        <f t="shared" si="9"/>
        <v>1</v>
      </c>
      <c r="H580" s="6">
        <v>1209.7429</v>
      </c>
      <c r="I580" s="7">
        <v>1169.43005371093</v>
      </c>
      <c r="J580" s="7">
        <v>9.4405424970811893</v>
      </c>
      <c r="K580" s="7">
        <v>0</v>
      </c>
    </row>
    <row r="581" spans="1:11" x14ac:dyDescent="0.3">
      <c r="A581" s="4">
        <v>40269</v>
      </c>
      <c r="B581" s="5">
        <v>0.2</v>
      </c>
      <c r="C581" s="11">
        <v>217.40299999999999</v>
      </c>
      <c r="D581" s="6">
        <v>90.599100000000007</v>
      </c>
      <c r="E581" s="5">
        <v>6.25</v>
      </c>
      <c r="F581" s="5">
        <v>5.29</v>
      </c>
      <c r="G581" s="5">
        <f t="shared" si="9"/>
        <v>0.96</v>
      </c>
      <c r="H581" s="6">
        <v>1207.5428999999999</v>
      </c>
      <c r="I581" s="7">
        <v>1186.68994140625</v>
      </c>
      <c r="J581" s="7">
        <v>19.044750498193199</v>
      </c>
      <c r="K581" s="7">
        <v>0</v>
      </c>
    </row>
    <row r="582" spans="1:11" x14ac:dyDescent="0.3">
      <c r="A582" s="4">
        <v>40299</v>
      </c>
      <c r="B582" s="5">
        <v>0.2</v>
      </c>
      <c r="C582" s="11">
        <v>217.29</v>
      </c>
      <c r="D582" s="6">
        <v>91.822999999999993</v>
      </c>
      <c r="E582" s="5">
        <v>6.05</v>
      </c>
      <c r="F582" s="5">
        <v>4.96</v>
      </c>
      <c r="G582" s="5">
        <f t="shared" si="9"/>
        <v>1.0899999999999999</v>
      </c>
      <c r="H582" s="6">
        <v>1196.9215999999999</v>
      </c>
      <c r="I582" s="7">
        <v>1089.41003417968</v>
      </c>
      <c r="J582" s="7">
        <v>40.5359083750742</v>
      </c>
      <c r="K582" s="7">
        <v>1</v>
      </c>
    </row>
    <row r="583" spans="1:11" x14ac:dyDescent="0.3">
      <c r="A583" s="4">
        <v>40330</v>
      </c>
      <c r="B583" s="5">
        <v>0.18</v>
      </c>
      <c r="C583" s="11">
        <v>217.19900000000001</v>
      </c>
      <c r="D583" s="6">
        <v>91.992800000000003</v>
      </c>
      <c r="E583" s="5">
        <v>6.23</v>
      </c>
      <c r="F583" s="5">
        <v>4.88</v>
      </c>
      <c r="G583" s="5">
        <f t="shared" si="9"/>
        <v>1.3500000000000005</v>
      </c>
      <c r="H583" s="6">
        <v>1190.1483000000001</v>
      </c>
      <c r="I583" s="7">
        <v>1030.7099609375</v>
      </c>
      <c r="J583" s="7">
        <v>32.450921644681202</v>
      </c>
      <c r="K583" s="7">
        <v>1</v>
      </c>
    </row>
    <row r="584" spans="1:11" x14ac:dyDescent="0.3">
      <c r="A584" s="4">
        <v>40360</v>
      </c>
      <c r="B584" s="5">
        <v>0.18</v>
      </c>
      <c r="C584" s="11">
        <v>217.60499999999999</v>
      </c>
      <c r="D584" s="6">
        <v>92.342100000000002</v>
      </c>
      <c r="E584" s="5">
        <v>6.01</v>
      </c>
      <c r="F584" s="5">
        <v>4.72</v>
      </c>
      <c r="G584" s="5">
        <f t="shared" si="9"/>
        <v>1.29</v>
      </c>
      <c r="H584" s="6">
        <v>1189.0278000000001</v>
      </c>
      <c r="I584" s="7">
        <v>1101.59997558593</v>
      </c>
      <c r="J584" s="7">
        <v>25.057058444176299</v>
      </c>
      <c r="K584" s="7">
        <v>1</v>
      </c>
    </row>
    <row r="585" spans="1:11" x14ac:dyDescent="0.3">
      <c r="A585" s="4">
        <v>40391</v>
      </c>
      <c r="B585" s="5">
        <v>0.19</v>
      </c>
      <c r="C585" s="11">
        <v>217.923</v>
      </c>
      <c r="D585" s="6">
        <v>92.680499999999995</v>
      </c>
      <c r="E585" s="5">
        <v>5.66</v>
      </c>
      <c r="F585" s="5">
        <v>4.49</v>
      </c>
      <c r="G585" s="5">
        <f t="shared" si="9"/>
        <v>1.17</v>
      </c>
      <c r="H585" s="6">
        <v>1187.4701</v>
      </c>
      <c r="I585" s="7">
        <v>1049.32995605468</v>
      </c>
      <c r="J585" s="7">
        <v>22.404074032402701</v>
      </c>
      <c r="K585" s="7">
        <v>1</v>
      </c>
    </row>
    <row r="586" spans="1:11" x14ac:dyDescent="0.3">
      <c r="A586" s="4">
        <v>40422</v>
      </c>
      <c r="B586" s="5">
        <v>0.19</v>
      </c>
      <c r="C586" s="11">
        <v>218.27500000000001</v>
      </c>
      <c r="D586" s="6">
        <v>92.953699999999998</v>
      </c>
      <c r="E586" s="5">
        <v>5.66</v>
      </c>
      <c r="F586" s="5">
        <v>4.53</v>
      </c>
      <c r="G586" s="5">
        <f t="shared" si="9"/>
        <v>1.1299999999999999</v>
      </c>
      <c r="H586" s="6">
        <v>1185.7276999999999</v>
      </c>
      <c r="I586" s="7">
        <v>1141.19995117187</v>
      </c>
      <c r="J586" s="7">
        <v>19.880693327017902</v>
      </c>
      <c r="K586" s="7">
        <v>0</v>
      </c>
    </row>
    <row r="587" spans="1:11" x14ac:dyDescent="0.3">
      <c r="A587" s="4">
        <v>40452</v>
      </c>
      <c r="B587" s="5">
        <v>0.19</v>
      </c>
      <c r="C587" s="11">
        <v>219.035</v>
      </c>
      <c r="D587" s="6">
        <v>92.690299999999993</v>
      </c>
      <c r="E587" s="5">
        <v>5.72</v>
      </c>
      <c r="F587" s="5">
        <v>4.68</v>
      </c>
      <c r="G587" s="5">
        <f t="shared" si="9"/>
        <v>1.04</v>
      </c>
      <c r="H587" s="6">
        <v>1185.2038</v>
      </c>
      <c r="I587" s="7">
        <v>1183.26000976562</v>
      </c>
      <c r="J587" s="7">
        <v>14.2743546125956</v>
      </c>
      <c r="K587" s="7">
        <v>0</v>
      </c>
    </row>
    <row r="588" spans="1:11" x14ac:dyDescent="0.3">
      <c r="A588" s="4">
        <v>40483</v>
      </c>
      <c r="B588" s="5">
        <v>0.19</v>
      </c>
      <c r="C588" s="11">
        <v>219.59</v>
      </c>
      <c r="D588" s="6">
        <v>92.770899999999997</v>
      </c>
      <c r="E588" s="5">
        <v>5.92</v>
      </c>
      <c r="F588" s="5">
        <v>4.87</v>
      </c>
      <c r="G588" s="5">
        <f t="shared" si="9"/>
        <v>1.0499999999999998</v>
      </c>
      <c r="H588" s="6">
        <v>1187.5082</v>
      </c>
      <c r="I588" s="7">
        <v>1180.55004882812</v>
      </c>
      <c r="J588" s="7">
        <v>18.689279642014899</v>
      </c>
      <c r="K588" s="7">
        <v>0</v>
      </c>
    </row>
    <row r="589" spans="1:11" x14ac:dyDescent="0.3">
      <c r="A589" s="4">
        <v>40513</v>
      </c>
      <c r="B589" s="5">
        <v>0.18</v>
      </c>
      <c r="C589" s="11">
        <v>220.47200000000001</v>
      </c>
      <c r="D589" s="6">
        <v>93.678700000000006</v>
      </c>
      <c r="E589" s="5">
        <v>6.1</v>
      </c>
      <c r="F589" s="5">
        <v>5.0199999999999996</v>
      </c>
      <c r="G589" s="5">
        <f t="shared" si="9"/>
        <v>1.08</v>
      </c>
      <c r="H589" s="6">
        <v>1192.7013999999999</v>
      </c>
      <c r="I589" s="7">
        <v>1257.64001464843</v>
      </c>
      <c r="J589" s="7">
        <v>11.061577078722699</v>
      </c>
      <c r="K589" s="7">
        <v>0</v>
      </c>
    </row>
    <row r="590" spans="1:11" x14ac:dyDescent="0.3">
      <c r="A590" s="4">
        <v>40544</v>
      </c>
      <c r="B590" s="5">
        <v>0.17</v>
      </c>
      <c r="C590" s="11">
        <v>221.18700000000001</v>
      </c>
      <c r="D590" s="6">
        <v>93.481399999999994</v>
      </c>
      <c r="E590" s="5">
        <v>6.09</v>
      </c>
      <c r="F590" s="5">
        <v>5.04</v>
      </c>
      <c r="G590" s="5">
        <f t="shared" si="9"/>
        <v>1.0499999999999998</v>
      </c>
      <c r="H590" s="6">
        <v>1195.9351999999999</v>
      </c>
      <c r="I590" s="7">
        <v>1286.11999511718</v>
      </c>
      <c r="J590" s="7">
        <v>13.3605829688703</v>
      </c>
      <c r="K590" s="7">
        <v>0</v>
      </c>
    </row>
    <row r="591" spans="1:11" x14ac:dyDescent="0.3">
      <c r="A591" s="4">
        <v>40575</v>
      </c>
      <c r="B591" s="5">
        <v>0.16</v>
      </c>
      <c r="C591" s="11">
        <v>221.898</v>
      </c>
      <c r="D591" s="6">
        <v>93.110200000000006</v>
      </c>
      <c r="E591" s="5">
        <v>6.15</v>
      </c>
      <c r="F591" s="5">
        <v>5.22</v>
      </c>
      <c r="G591" s="5">
        <f t="shared" si="9"/>
        <v>0.9300000000000006</v>
      </c>
      <c r="H591" s="6">
        <v>1199.5471</v>
      </c>
      <c r="I591" s="7">
        <v>1327.21997070312</v>
      </c>
      <c r="J591" s="7">
        <v>15.0815016117095</v>
      </c>
      <c r="K591" s="7">
        <v>0</v>
      </c>
    </row>
    <row r="592" spans="1:11" x14ac:dyDescent="0.3">
      <c r="A592" s="4">
        <v>40603</v>
      </c>
      <c r="B592" s="5">
        <v>0.14000000000000001</v>
      </c>
      <c r="C592" s="11">
        <v>223.04599999999999</v>
      </c>
      <c r="D592" s="6">
        <v>94.078800000000001</v>
      </c>
      <c r="E592" s="5">
        <v>6.03</v>
      </c>
      <c r="F592" s="5">
        <v>5.13</v>
      </c>
      <c r="G592" s="5">
        <f t="shared" si="9"/>
        <v>0.90000000000000036</v>
      </c>
      <c r="H592" s="6">
        <v>1206.4413</v>
      </c>
      <c r="I592" s="7">
        <v>1325.82995605468</v>
      </c>
      <c r="J592" s="7">
        <v>20.769424422602501</v>
      </c>
      <c r="K592" s="7">
        <v>0</v>
      </c>
    </row>
    <row r="593" spans="1:11" x14ac:dyDescent="0.3">
      <c r="A593" s="4">
        <v>40634</v>
      </c>
      <c r="B593" s="5">
        <v>0.1</v>
      </c>
      <c r="C593" s="11">
        <v>224.09299999999999</v>
      </c>
      <c r="D593" s="6">
        <v>93.774900000000002</v>
      </c>
      <c r="E593" s="5">
        <v>6.02</v>
      </c>
      <c r="F593" s="5">
        <v>5.16</v>
      </c>
      <c r="G593" s="5">
        <f t="shared" si="9"/>
        <v>0.85999999999999943</v>
      </c>
      <c r="H593" s="6">
        <v>1214.9147</v>
      </c>
      <c r="I593" s="7">
        <v>1363.60998535156</v>
      </c>
      <c r="J593" s="7">
        <v>11.2343103508572</v>
      </c>
      <c r="K593" s="7">
        <v>0</v>
      </c>
    </row>
    <row r="594" spans="1:11" x14ac:dyDescent="0.3">
      <c r="A594" s="4">
        <v>40664</v>
      </c>
      <c r="B594" s="5">
        <v>0.09</v>
      </c>
      <c r="C594" s="11">
        <v>224.80600000000001</v>
      </c>
      <c r="D594" s="6">
        <v>93.888000000000005</v>
      </c>
      <c r="E594" s="5">
        <v>5.78</v>
      </c>
      <c r="F594" s="5">
        <v>4.96</v>
      </c>
      <c r="G594" s="5">
        <f t="shared" si="9"/>
        <v>0.82000000000000028</v>
      </c>
      <c r="H594" s="6">
        <v>1229.0589</v>
      </c>
      <c r="I594" s="7">
        <v>1345.19995117187</v>
      </c>
      <c r="J594" s="7">
        <v>13.6752475056834</v>
      </c>
      <c r="K594" s="7">
        <v>0</v>
      </c>
    </row>
    <row r="595" spans="1:11" x14ac:dyDescent="0.3">
      <c r="A595" s="4">
        <v>40695</v>
      </c>
      <c r="B595" s="5">
        <v>0.09</v>
      </c>
      <c r="C595" s="11">
        <v>224.80600000000001</v>
      </c>
      <c r="D595" s="6">
        <v>94.171999999999997</v>
      </c>
      <c r="E595" s="5">
        <v>5.75</v>
      </c>
      <c r="F595" s="5">
        <v>4.99</v>
      </c>
      <c r="G595" s="5">
        <f t="shared" si="9"/>
        <v>0.75999999999999979</v>
      </c>
      <c r="H595" s="6">
        <v>1233.6241</v>
      </c>
      <c r="I595" s="7">
        <v>1320.64001464843</v>
      </c>
      <c r="J595" s="7">
        <v>20.983537904844798</v>
      </c>
      <c r="K595" s="7">
        <v>1</v>
      </c>
    </row>
    <row r="596" spans="1:11" x14ac:dyDescent="0.3">
      <c r="A596" s="4">
        <v>40725</v>
      </c>
      <c r="B596" s="5">
        <v>7.0000000000000007E-2</v>
      </c>
      <c r="C596" s="11">
        <v>225.39500000000001</v>
      </c>
      <c r="D596" s="6">
        <v>94.635999999999996</v>
      </c>
      <c r="E596" s="5">
        <v>5.76</v>
      </c>
      <c r="F596" s="5">
        <v>4.93</v>
      </c>
      <c r="G596" s="5">
        <f t="shared" si="9"/>
        <v>0.83000000000000007</v>
      </c>
      <c r="H596" s="6">
        <v>1244.3308999999999</v>
      </c>
      <c r="I596" s="7">
        <v>1292.28002929687</v>
      </c>
      <c r="J596" s="7">
        <v>19.6080474708947</v>
      </c>
      <c r="K596" s="7">
        <v>0</v>
      </c>
    </row>
    <row r="597" spans="1:11" x14ac:dyDescent="0.3">
      <c r="A597" s="4">
        <v>40756</v>
      </c>
      <c r="B597" s="5">
        <v>0.1</v>
      </c>
      <c r="C597" s="11">
        <v>226.10599999999999</v>
      </c>
      <c r="D597" s="6">
        <v>95.274900000000002</v>
      </c>
      <c r="E597" s="5">
        <v>5.36</v>
      </c>
      <c r="F597" s="5">
        <v>4.37</v>
      </c>
      <c r="G597" s="5">
        <f t="shared" si="9"/>
        <v>0.99000000000000021</v>
      </c>
      <c r="H597" s="6">
        <v>1263.0844</v>
      </c>
      <c r="I597" s="7">
        <v>1218.89001464843</v>
      </c>
      <c r="J597" s="7">
        <v>59.670343559027401</v>
      </c>
      <c r="K597" s="7">
        <v>1</v>
      </c>
    </row>
    <row r="598" spans="1:11" x14ac:dyDescent="0.3">
      <c r="A598" s="4">
        <v>40787</v>
      </c>
      <c r="B598" s="5">
        <v>0.08</v>
      </c>
      <c r="C598" s="11">
        <v>226.59700000000001</v>
      </c>
      <c r="D598" s="6">
        <v>95.196100000000001</v>
      </c>
      <c r="E598" s="5">
        <v>5.27</v>
      </c>
      <c r="F598" s="5">
        <v>4.09</v>
      </c>
      <c r="G598" s="5">
        <f t="shared" si="9"/>
        <v>1.1799999999999997</v>
      </c>
      <c r="H598" s="6">
        <v>1269.5994000000001</v>
      </c>
      <c r="I598" s="7">
        <v>1131.42004394531</v>
      </c>
      <c r="J598" s="7">
        <v>36.827905035030703</v>
      </c>
      <c r="K598" s="7">
        <v>1</v>
      </c>
    </row>
    <row r="599" spans="1:11" x14ac:dyDescent="0.3">
      <c r="A599" s="4">
        <v>40817</v>
      </c>
      <c r="B599" s="5">
        <v>7.0000000000000007E-2</v>
      </c>
      <c r="C599" s="11">
        <v>226.75</v>
      </c>
      <c r="D599" s="6">
        <v>95.856800000000007</v>
      </c>
      <c r="E599" s="5">
        <v>5.37</v>
      </c>
      <c r="F599" s="5">
        <v>3.98</v>
      </c>
      <c r="G599" s="5">
        <f t="shared" si="9"/>
        <v>1.3900000000000001</v>
      </c>
      <c r="H599" s="6">
        <v>1280.3982000000001</v>
      </c>
      <c r="I599" s="7">
        <v>1253.30004882812</v>
      </c>
      <c r="J599" s="7">
        <v>37.112595242625801</v>
      </c>
      <c r="K599" s="7">
        <v>1</v>
      </c>
    </row>
    <row r="600" spans="1:11" x14ac:dyDescent="0.3">
      <c r="A600" s="4">
        <v>40848</v>
      </c>
      <c r="B600" s="5">
        <v>0.08</v>
      </c>
      <c r="C600" s="11">
        <v>227.16900000000001</v>
      </c>
      <c r="D600" s="6">
        <v>95.848500000000001</v>
      </c>
      <c r="E600" s="5">
        <v>5.14</v>
      </c>
      <c r="F600" s="5">
        <v>3.87</v>
      </c>
      <c r="G600" s="5">
        <f t="shared" si="9"/>
        <v>1.2699999999999996</v>
      </c>
      <c r="H600" s="6">
        <v>1293.2356</v>
      </c>
      <c r="I600" s="7">
        <v>1246.9599609375</v>
      </c>
      <c r="J600" s="7">
        <v>39.280867350078204</v>
      </c>
      <c r="K600" s="7">
        <v>1</v>
      </c>
    </row>
    <row r="601" spans="1:11" x14ac:dyDescent="0.3">
      <c r="A601" s="4">
        <v>40878</v>
      </c>
      <c r="B601" s="5">
        <v>7.0000000000000007E-2</v>
      </c>
      <c r="C601" s="11">
        <v>227.22300000000001</v>
      </c>
      <c r="D601" s="6">
        <v>96.357100000000003</v>
      </c>
      <c r="E601" s="5">
        <v>5.25</v>
      </c>
      <c r="F601" s="5">
        <v>3.93</v>
      </c>
      <c r="G601" s="5">
        <f t="shared" si="9"/>
        <v>1.3199999999999998</v>
      </c>
      <c r="H601" s="6">
        <v>1304.0391</v>
      </c>
      <c r="I601" s="7">
        <v>1257.59997558593</v>
      </c>
      <c r="J601" s="7">
        <v>23.520251068296499</v>
      </c>
      <c r="K601" s="7">
        <v>1</v>
      </c>
    </row>
    <row r="602" spans="1:11" x14ac:dyDescent="0.3">
      <c r="A602" s="4">
        <v>40909</v>
      </c>
      <c r="B602" s="5">
        <v>0.08</v>
      </c>
      <c r="C602" s="11">
        <v>227.84200000000001</v>
      </c>
      <c r="D602" s="6">
        <v>96.931799999999996</v>
      </c>
      <c r="E602" s="5">
        <v>5.23</v>
      </c>
      <c r="F602" s="5">
        <v>3.85</v>
      </c>
      <c r="G602" s="5">
        <f t="shared" si="9"/>
        <v>1.3800000000000003</v>
      </c>
      <c r="H602" s="6">
        <v>1321.3179</v>
      </c>
      <c r="I602" s="7">
        <v>1312.41003417968</v>
      </c>
      <c r="J602" s="7">
        <v>10.8123809445555</v>
      </c>
      <c r="K602" s="7">
        <v>0</v>
      </c>
    </row>
    <row r="603" spans="1:11" x14ac:dyDescent="0.3">
      <c r="A603" s="4">
        <v>40940</v>
      </c>
      <c r="B603" s="5">
        <v>0.1</v>
      </c>
      <c r="C603" s="11">
        <v>228.32900000000001</v>
      </c>
      <c r="D603" s="6">
        <v>97.243499999999997</v>
      </c>
      <c r="E603" s="5">
        <v>5.14</v>
      </c>
      <c r="F603" s="5">
        <v>3.85</v>
      </c>
      <c r="G603" s="5">
        <f t="shared" si="9"/>
        <v>1.2899999999999996</v>
      </c>
      <c r="H603" s="6">
        <v>1344.1777999999999</v>
      </c>
      <c r="I603" s="7">
        <v>1365.68005371093</v>
      </c>
      <c r="J603" s="7">
        <v>10.6986211700479</v>
      </c>
      <c r="K603" s="7">
        <v>0</v>
      </c>
    </row>
    <row r="604" spans="1:11" x14ac:dyDescent="0.3">
      <c r="A604" s="4">
        <v>40969</v>
      </c>
      <c r="B604" s="5">
        <v>0.13</v>
      </c>
      <c r="C604" s="11">
        <v>228.80699999999999</v>
      </c>
      <c r="D604" s="6">
        <v>96.74</v>
      </c>
      <c r="E604" s="5">
        <v>5.23</v>
      </c>
      <c r="F604" s="5">
        <v>3.99</v>
      </c>
      <c r="G604" s="5">
        <f t="shared" si="9"/>
        <v>1.2400000000000002</v>
      </c>
      <c r="H604" s="6">
        <v>1350.492</v>
      </c>
      <c r="I604" s="7">
        <v>1408.46997070312</v>
      </c>
      <c r="J604" s="7">
        <v>14.5686954002212</v>
      </c>
      <c r="K604" s="7">
        <v>0</v>
      </c>
    </row>
    <row r="605" spans="1:11" x14ac:dyDescent="0.3">
      <c r="A605" s="4">
        <v>41000</v>
      </c>
      <c r="B605" s="5">
        <v>0.14000000000000001</v>
      </c>
      <c r="C605" s="11">
        <v>229.18700000000001</v>
      </c>
      <c r="D605" s="6">
        <v>97.435900000000004</v>
      </c>
      <c r="E605" s="5">
        <v>5.19</v>
      </c>
      <c r="F605" s="5">
        <v>3.96</v>
      </c>
      <c r="G605" s="5">
        <f t="shared" si="9"/>
        <v>1.2300000000000004</v>
      </c>
      <c r="H605" s="6">
        <v>1368.5956000000001</v>
      </c>
      <c r="I605" s="7">
        <v>1397.91003417968</v>
      </c>
      <c r="J605" s="7">
        <v>18.5678929688974</v>
      </c>
      <c r="K605" s="7">
        <v>0</v>
      </c>
    </row>
    <row r="606" spans="1:11" x14ac:dyDescent="0.3">
      <c r="A606" s="4">
        <v>41030</v>
      </c>
      <c r="B606" s="5">
        <v>0.16</v>
      </c>
      <c r="C606" s="11">
        <v>228.71299999999999</v>
      </c>
      <c r="D606" s="6">
        <v>97.660899999999998</v>
      </c>
      <c r="E606" s="5">
        <v>5.07</v>
      </c>
      <c r="F606" s="5">
        <v>3.8</v>
      </c>
      <c r="G606" s="5">
        <f t="shared" si="9"/>
        <v>1.2700000000000005</v>
      </c>
      <c r="H606" s="6">
        <v>1379.0397</v>
      </c>
      <c r="I606" s="7">
        <v>1310.32995605468</v>
      </c>
      <c r="J606" s="7">
        <v>15.879562243150099</v>
      </c>
      <c r="K606" s="7">
        <v>0</v>
      </c>
    </row>
    <row r="607" spans="1:11" x14ac:dyDescent="0.3">
      <c r="A607" s="4">
        <v>41061</v>
      </c>
      <c r="B607" s="5">
        <v>0.16</v>
      </c>
      <c r="C607" s="11">
        <v>228.524</v>
      </c>
      <c r="D607" s="6">
        <v>97.666300000000007</v>
      </c>
      <c r="E607" s="5">
        <v>5.0199999999999996</v>
      </c>
      <c r="F607" s="5">
        <v>3.64</v>
      </c>
      <c r="G607" s="5">
        <f t="shared" si="9"/>
        <v>1.3799999999999994</v>
      </c>
      <c r="H607" s="6">
        <v>1397.9730999999999</v>
      </c>
      <c r="I607" s="7">
        <v>1362.16003417968</v>
      </c>
      <c r="J607" s="7">
        <v>26.039261799490699</v>
      </c>
      <c r="K607" s="7">
        <v>1</v>
      </c>
    </row>
    <row r="608" spans="1:11" x14ac:dyDescent="0.3">
      <c r="A608" s="4">
        <v>41091</v>
      </c>
      <c r="B608" s="5">
        <v>0.16</v>
      </c>
      <c r="C608" s="11">
        <v>228.59</v>
      </c>
      <c r="D608" s="6">
        <v>97.871300000000005</v>
      </c>
      <c r="E608" s="5">
        <v>4.87</v>
      </c>
      <c r="F608" s="5">
        <v>3.4</v>
      </c>
      <c r="G608" s="5">
        <f t="shared" si="9"/>
        <v>1.4700000000000002</v>
      </c>
      <c r="H608" s="6">
        <v>1413.7810999999999</v>
      </c>
      <c r="I608" s="7">
        <v>1379.31994628906</v>
      </c>
      <c r="J608" s="7">
        <v>17.5754595459886</v>
      </c>
      <c r="K608" s="7">
        <v>0</v>
      </c>
    </row>
    <row r="609" spans="1:11" x14ac:dyDescent="0.3">
      <c r="A609" s="4">
        <v>41122</v>
      </c>
      <c r="B609" s="5">
        <v>0.13</v>
      </c>
      <c r="C609" s="11">
        <v>229.91800000000001</v>
      </c>
      <c r="D609" s="6">
        <v>97.452500000000001</v>
      </c>
      <c r="E609" s="5">
        <v>4.91</v>
      </c>
      <c r="F609" s="5">
        <v>3.48</v>
      </c>
      <c r="G609" s="5">
        <f t="shared" si="9"/>
        <v>1.4300000000000002</v>
      </c>
      <c r="H609" s="6">
        <v>1425.6215</v>
      </c>
      <c r="I609" s="7">
        <v>1406.57995605468</v>
      </c>
      <c r="J609" s="7">
        <v>11.3679864676312</v>
      </c>
      <c r="K609" s="7">
        <v>0</v>
      </c>
    </row>
    <row r="610" spans="1:11" x14ac:dyDescent="0.3">
      <c r="A610" s="4">
        <v>41153</v>
      </c>
      <c r="B610" s="5">
        <v>0.14000000000000001</v>
      </c>
      <c r="C610" s="11">
        <v>231.01499999999999</v>
      </c>
      <c r="D610" s="6">
        <v>97.381</v>
      </c>
      <c r="E610" s="5">
        <v>4.84</v>
      </c>
      <c r="F610" s="5">
        <v>3.49</v>
      </c>
      <c r="G610" s="5">
        <f t="shared" si="9"/>
        <v>1.3499999999999996</v>
      </c>
      <c r="H610" s="6">
        <v>1434.3309999999999</v>
      </c>
      <c r="I610" s="7">
        <v>1440.67004394531</v>
      </c>
      <c r="J610" s="7">
        <v>14.981896011880901</v>
      </c>
      <c r="K610" s="7">
        <v>0</v>
      </c>
    </row>
    <row r="611" spans="1:11" x14ac:dyDescent="0.3">
      <c r="A611" s="4">
        <v>41183</v>
      </c>
      <c r="B611" s="5">
        <v>0.16</v>
      </c>
      <c r="C611" s="11">
        <v>231.63800000000001</v>
      </c>
      <c r="D611" s="6">
        <v>97.719300000000004</v>
      </c>
      <c r="E611" s="5">
        <v>4.58</v>
      </c>
      <c r="F611" s="5">
        <v>3.47</v>
      </c>
      <c r="G611" s="5">
        <f t="shared" si="9"/>
        <v>1.1099999999999999</v>
      </c>
      <c r="H611" s="6">
        <v>1449.5834</v>
      </c>
      <c r="I611" s="7">
        <v>1412.16003417968</v>
      </c>
      <c r="J611" s="7">
        <v>13.5668209668064</v>
      </c>
      <c r="K611" s="7">
        <v>0</v>
      </c>
    </row>
    <row r="612" spans="1:11" x14ac:dyDescent="0.3">
      <c r="A612" s="4">
        <v>41214</v>
      </c>
      <c r="B612" s="5">
        <v>0.16</v>
      </c>
      <c r="C612" s="11">
        <v>231.249</v>
      </c>
      <c r="D612" s="6">
        <v>98.077699999999993</v>
      </c>
      <c r="E612" s="5">
        <v>4.51</v>
      </c>
      <c r="F612" s="5">
        <v>3.5</v>
      </c>
      <c r="G612" s="5">
        <f t="shared" si="9"/>
        <v>1.0099999999999998</v>
      </c>
      <c r="H612" s="6">
        <v>1457.5771</v>
      </c>
      <c r="I612" s="7">
        <v>1416.18005371093</v>
      </c>
      <c r="J612" s="7">
        <v>19.614038341379601</v>
      </c>
      <c r="K612" s="7">
        <v>0</v>
      </c>
    </row>
    <row r="613" spans="1:11" x14ac:dyDescent="0.3">
      <c r="A613" s="4">
        <v>41244</v>
      </c>
      <c r="B613" s="5">
        <v>0.16</v>
      </c>
      <c r="C613" s="11">
        <v>231.221</v>
      </c>
      <c r="D613" s="6">
        <v>98.310100000000006</v>
      </c>
      <c r="E613" s="5">
        <v>4.63</v>
      </c>
      <c r="F613" s="5">
        <v>3.65</v>
      </c>
      <c r="G613" s="5">
        <f t="shared" si="9"/>
        <v>0.98</v>
      </c>
      <c r="H613" s="6">
        <v>1474.5891999999999</v>
      </c>
      <c r="I613" s="7">
        <v>1426.18994140625</v>
      </c>
      <c r="J613" s="7">
        <v>14.7665676367456</v>
      </c>
      <c r="K613" s="7">
        <v>0</v>
      </c>
    </row>
    <row r="614" spans="1:11" x14ac:dyDescent="0.3">
      <c r="A614" s="4">
        <v>41275</v>
      </c>
      <c r="B614" s="5">
        <v>0.14000000000000001</v>
      </c>
      <c r="C614" s="11">
        <v>231.679</v>
      </c>
      <c r="D614" s="6">
        <v>98.334199999999996</v>
      </c>
      <c r="E614" s="5">
        <v>4.7300000000000004</v>
      </c>
      <c r="F614" s="5">
        <v>3.8</v>
      </c>
      <c r="G614" s="5">
        <f t="shared" si="9"/>
        <v>0.9300000000000006</v>
      </c>
      <c r="H614" s="6">
        <v>1485.1014</v>
      </c>
      <c r="I614" s="7">
        <v>1498.10998535156</v>
      </c>
      <c r="J614" s="7">
        <v>12.4929489598345</v>
      </c>
      <c r="K614" s="7">
        <v>0</v>
      </c>
    </row>
    <row r="615" spans="1:11" x14ac:dyDescent="0.3">
      <c r="A615" s="4">
        <v>41306</v>
      </c>
      <c r="B615" s="5">
        <v>0.15</v>
      </c>
      <c r="C615" s="11">
        <v>232.93700000000001</v>
      </c>
      <c r="D615" s="6">
        <v>98.7941</v>
      </c>
      <c r="E615" s="5">
        <v>4.8499999999999996</v>
      </c>
      <c r="F615" s="5">
        <v>3.9</v>
      </c>
      <c r="G615" s="5">
        <f t="shared" si="9"/>
        <v>0.94999999999999973</v>
      </c>
      <c r="H615" s="6">
        <v>1491.2673</v>
      </c>
      <c r="I615" s="7">
        <v>1514.68005371093</v>
      </c>
      <c r="J615" s="7">
        <v>16.667391341186701</v>
      </c>
      <c r="K615" s="7">
        <v>0</v>
      </c>
    </row>
    <row r="616" spans="1:11" x14ac:dyDescent="0.3">
      <c r="A616" s="4">
        <v>41334</v>
      </c>
      <c r="B616" s="5">
        <v>0.14000000000000001</v>
      </c>
      <c r="C616" s="11">
        <v>232.28200000000001</v>
      </c>
      <c r="D616" s="6">
        <v>99.192099999999996</v>
      </c>
      <c r="E616" s="5">
        <v>4.8499999999999996</v>
      </c>
      <c r="F616" s="5">
        <v>3.93</v>
      </c>
      <c r="G616" s="5">
        <f t="shared" si="9"/>
        <v>0.91999999999999948</v>
      </c>
      <c r="H616" s="6">
        <v>1499.1859999999999</v>
      </c>
      <c r="I616" s="7">
        <v>1569.18994140625</v>
      </c>
      <c r="J616" s="7">
        <v>9.4426074540755902</v>
      </c>
      <c r="K616" s="7">
        <v>0</v>
      </c>
    </row>
    <row r="617" spans="1:11" x14ac:dyDescent="0.3">
      <c r="A617" s="4">
        <v>41365</v>
      </c>
      <c r="B617" s="5">
        <v>0.15</v>
      </c>
      <c r="C617" s="11">
        <v>231.797</v>
      </c>
      <c r="D617" s="6">
        <v>99.106499999999997</v>
      </c>
      <c r="E617" s="5">
        <v>4.59</v>
      </c>
      <c r="F617" s="5">
        <v>3.73</v>
      </c>
      <c r="G617" s="5">
        <f t="shared" si="9"/>
        <v>0.85999999999999988</v>
      </c>
      <c r="H617" s="6">
        <v>1507.451</v>
      </c>
      <c r="I617" s="7">
        <v>1597.56994628906</v>
      </c>
      <c r="J617" s="7">
        <v>17.943238589723101</v>
      </c>
      <c r="K617" s="7">
        <v>0</v>
      </c>
    </row>
    <row r="618" spans="1:11" x14ac:dyDescent="0.3">
      <c r="A618" s="4">
        <v>41395</v>
      </c>
      <c r="B618" s="5">
        <v>0.11</v>
      </c>
      <c r="C618" s="11">
        <v>231.893</v>
      </c>
      <c r="D618" s="6">
        <v>99.183899999999994</v>
      </c>
      <c r="E618" s="5">
        <v>4.7300000000000004</v>
      </c>
      <c r="F618" s="5">
        <v>3.89</v>
      </c>
      <c r="G618" s="5">
        <f t="shared" si="9"/>
        <v>0.8400000000000003</v>
      </c>
      <c r="H618" s="6">
        <v>1510.4217000000001</v>
      </c>
      <c r="I618" s="7">
        <v>1630.73999023437</v>
      </c>
      <c r="J618" s="7">
        <v>13.8286366729529</v>
      </c>
      <c r="K618" s="7">
        <v>0</v>
      </c>
    </row>
    <row r="619" spans="1:11" x14ac:dyDescent="0.3">
      <c r="A619" s="4">
        <v>41426</v>
      </c>
      <c r="B619" s="5">
        <v>0.09</v>
      </c>
      <c r="C619" s="11">
        <v>232.44499999999999</v>
      </c>
      <c r="D619" s="6">
        <v>99.389700000000005</v>
      </c>
      <c r="E619" s="5">
        <v>5.19</v>
      </c>
      <c r="F619" s="5">
        <v>4.2699999999999996</v>
      </c>
      <c r="G619" s="5">
        <f t="shared" si="9"/>
        <v>0.92000000000000082</v>
      </c>
      <c r="H619" s="6">
        <v>1521.7516000000001</v>
      </c>
      <c r="I619" s="7">
        <v>1606.28002929687</v>
      </c>
      <c r="J619" s="7">
        <v>21.858831828847201</v>
      </c>
      <c r="K619" s="7">
        <v>1</v>
      </c>
    </row>
    <row r="620" spans="1:11" x14ac:dyDescent="0.3">
      <c r="A620" s="4">
        <v>41456</v>
      </c>
      <c r="B620" s="5">
        <v>0.09</v>
      </c>
      <c r="C620" s="11">
        <v>232.9</v>
      </c>
      <c r="D620" s="6">
        <v>99.081400000000002</v>
      </c>
      <c r="E620" s="5">
        <v>5.32</v>
      </c>
      <c r="F620" s="5">
        <v>4.34</v>
      </c>
      <c r="G620" s="5">
        <f t="shared" si="9"/>
        <v>0.98000000000000043</v>
      </c>
      <c r="H620" s="6">
        <v>1531.8942</v>
      </c>
      <c r="I620" s="7">
        <v>1685.72998046875</v>
      </c>
      <c r="J620" s="7">
        <v>8.6723854971663599</v>
      </c>
      <c r="K620" s="7">
        <v>0</v>
      </c>
    </row>
    <row r="621" spans="1:11" x14ac:dyDescent="0.3">
      <c r="A621" s="4">
        <v>41487</v>
      </c>
      <c r="B621" s="5">
        <v>0.08</v>
      </c>
      <c r="C621" s="11">
        <v>233.45599999999999</v>
      </c>
      <c r="D621" s="6">
        <v>99.654300000000006</v>
      </c>
      <c r="E621" s="5">
        <v>5.42</v>
      </c>
      <c r="F621" s="5">
        <v>4.54</v>
      </c>
      <c r="G621" s="5">
        <f t="shared" si="9"/>
        <v>0.87999999999999989</v>
      </c>
      <c r="H621" s="6">
        <v>1533.0979</v>
      </c>
      <c r="I621" s="7">
        <v>1632.96997070312</v>
      </c>
      <c r="J621" s="7">
        <v>13.2126147616361</v>
      </c>
      <c r="K621" s="7">
        <v>0</v>
      </c>
    </row>
    <row r="622" spans="1:11" x14ac:dyDescent="0.3">
      <c r="A622" s="4">
        <v>41518</v>
      </c>
      <c r="B622" s="5">
        <v>0.08</v>
      </c>
      <c r="C622" s="11">
        <v>233.54400000000001</v>
      </c>
      <c r="D622" s="6">
        <v>100.161</v>
      </c>
      <c r="E622" s="5">
        <v>5.47</v>
      </c>
      <c r="F622" s="5">
        <v>4.6399999999999997</v>
      </c>
      <c r="G622" s="5">
        <f t="shared" si="9"/>
        <v>0.83000000000000007</v>
      </c>
      <c r="H622" s="6">
        <v>1540.0041000000001</v>
      </c>
      <c r="I622" s="7">
        <v>1681.55004882812</v>
      </c>
      <c r="J622" s="7">
        <v>11.0533692640136</v>
      </c>
      <c r="K622" s="7">
        <v>0</v>
      </c>
    </row>
    <row r="623" spans="1:11" x14ac:dyDescent="0.3">
      <c r="A623" s="4">
        <v>41548</v>
      </c>
      <c r="B623" s="5">
        <v>0.09</v>
      </c>
      <c r="C623" s="11">
        <v>233.66900000000001</v>
      </c>
      <c r="D623" s="6">
        <v>100.08199999999999</v>
      </c>
      <c r="E623" s="5">
        <v>5.31</v>
      </c>
      <c r="F623" s="5">
        <v>4.53</v>
      </c>
      <c r="G623" s="5">
        <f t="shared" si="9"/>
        <v>0.77999999999999936</v>
      </c>
      <c r="H623" s="6">
        <v>1549.6383000000001</v>
      </c>
      <c r="I623" s="7">
        <v>1756.5400390625</v>
      </c>
      <c r="J623" s="7">
        <v>15.6936908648987</v>
      </c>
      <c r="K623" s="7">
        <v>0</v>
      </c>
    </row>
    <row r="624" spans="1:11" x14ac:dyDescent="0.3">
      <c r="A624" s="4">
        <v>41579</v>
      </c>
      <c r="B624" s="5">
        <v>0.08</v>
      </c>
      <c r="C624" s="11">
        <v>234.1</v>
      </c>
      <c r="D624" s="6">
        <v>100.3158</v>
      </c>
      <c r="E624" s="5">
        <v>5.38</v>
      </c>
      <c r="F624" s="5">
        <v>4.63</v>
      </c>
      <c r="G624" s="5">
        <f t="shared" si="9"/>
        <v>0.75</v>
      </c>
      <c r="H624" s="6">
        <v>1558.8508999999999</v>
      </c>
      <c r="I624" s="7">
        <v>1805.81005859375</v>
      </c>
      <c r="J624" s="7">
        <v>11.3253445305581</v>
      </c>
      <c r="K624" s="7">
        <v>0</v>
      </c>
    </row>
    <row r="625" spans="1:11" x14ac:dyDescent="0.3">
      <c r="A625" s="4">
        <v>41609</v>
      </c>
      <c r="B625" s="5">
        <v>0.09</v>
      </c>
      <c r="C625" s="11">
        <v>234.71899999999999</v>
      </c>
      <c r="D625" s="6">
        <v>100.5175</v>
      </c>
      <c r="E625" s="5">
        <v>5.38</v>
      </c>
      <c r="F625" s="5">
        <v>4.62</v>
      </c>
      <c r="G625" s="5">
        <f t="shared" si="9"/>
        <v>0.75999999999999979</v>
      </c>
      <c r="H625" s="6">
        <v>1574.33</v>
      </c>
      <c r="I625" s="7">
        <v>1848.35998535156</v>
      </c>
      <c r="J625" s="7">
        <v>12.0012724401786</v>
      </c>
      <c r="K625" s="7">
        <v>0</v>
      </c>
    </row>
    <row r="626" spans="1:11" x14ac:dyDescent="0.3">
      <c r="A626" s="4">
        <v>41640</v>
      </c>
      <c r="B626" s="5">
        <v>7.0000000000000007E-2</v>
      </c>
      <c r="C626" s="11">
        <v>235.28800000000001</v>
      </c>
      <c r="D626" s="6">
        <v>100.15989999999999</v>
      </c>
      <c r="E626" s="5">
        <v>5.19</v>
      </c>
      <c r="F626" s="5">
        <v>4.49</v>
      </c>
      <c r="G626" s="5">
        <f t="shared" si="9"/>
        <v>0.70000000000000018</v>
      </c>
      <c r="H626" s="6">
        <v>1586.7954</v>
      </c>
      <c r="I626" s="7">
        <v>1782.58996582031</v>
      </c>
      <c r="J626" s="7">
        <v>15.883896089546401</v>
      </c>
      <c r="K626" s="7">
        <v>0</v>
      </c>
    </row>
    <row r="627" spans="1:11" x14ac:dyDescent="0.3">
      <c r="A627" s="4">
        <v>41671</v>
      </c>
      <c r="B627" s="5">
        <v>7.0000000000000007E-2</v>
      </c>
      <c r="C627" s="11">
        <v>235.547</v>
      </c>
      <c r="D627" s="6">
        <v>100.91679999999999</v>
      </c>
      <c r="E627" s="5">
        <v>5.0999999999999996</v>
      </c>
      <c r="F627" s="5">
        <v>4.45</v>
      </c>
      <c r="G627" s="5">
        <f t="shared" si="9"/>
        <v>0.64999999999999947</v>
      </c>
      <c r="H627" s="6">
        <v>1619.7095999999999</v>
      </c>
      <c r="I627" s="7">
        <v>1859.44995117187</v>
      </c>
      <c r="J627" s="7">
        <v>16.1529095788425</v>
      </c>
      <c r="K627" s="7">
        <v>0</v>
      </c>
    </row>
    <row r="628" spans="1:11" x14ac:dyDescent="0.3">
      <c r="A628" s="4">
        <v>41699</v>
      </c>
      <c r="B628" s="5">
        <v>0.08</v>
      </c>
      <c r="C628" s="11">
        <v>236.02799999999999</v>
      </c>
      <c r="D628" s="6">
        <v>101.8942</v>
      </c>
      <c r="E628" s="5">
        <v>5.0599999999999996</v>
      </c>
      <c r="F628" s="5">
        <v>4.38</v>
      </c>
      <c r="G628" s="5">
        <f t="shared" si="9"/>
        <v>0.67999999999999972</v>
      </c>
      <c r="H628" s="6">
        <v>1633.3176000000001</v>
      </c>
      <c r="I628" s="7">
        <v>1872.33996582031</v>
      </c>
      <c r="J628" s="7">
        <v>13.1949290721246</v>
      </c>
      <c r="K628" s="7">
        <v>0</v>
      </c>
    </row>
    <row r="629" spans="1:11" x14ac:dyDescent="0.3">
      <c r="A629" s="4">
        <v>41730</v>
      </c>
      <c r="B629" s="5">
        <v>0.09</v>
      </c>
      <c r="C629" s="11">
        <v>236.46799999999999</v>
      </c>
      <c r="D629" s="6">
        <v>101.9928</v>
      </c>
      <c r="E629" s="5">
        <v>4.9000000000000004</v>
      </c>
      <c r="F629" s="5">
        <v>4.24</v>
      </c>
      <c r="G629" s="5">
        <f t="shared" si="9"/>
        <v>0.66000000000000014</v>
      </c>
      <c r="H629" s="6">
        <v>1651.1911</v>
      </c>
      <c r="I629" s="7">
        <v>1883.94995117187</v>
      </c>
      <c r="J629" s="7">
        <v>16.6203519550942</v>
      </c>
      <c r="K629" s="7">
        <v>0</v>
      </c>
    </row>
    <row r="630" spans="1:11" x14ac:dyDescent="0.3">
      <c r="A630" s="4">
        <v>41760</v>
      </c>
      <c r="B630" s="5">
        <v>0.09</v>
      </c>
      <c r="C630" s="11">
        <v>236.91800000000001</v>
      </c>
      <c r="D630" s="6">
        <v>102.3836</v>
      </c>
      <c r="E630" s="5">
        <v>4.76</v>
      </c>
      <c r="F630" s="5">
        <v>4.16</v>
      </c>
      <c r="G630" s="5">
        <f t="shared" si="9"/>
        <v>0.59999999999999964</v>
      </c>
      <c r="H630" s="6">
        <v>1663.6926000000001</v>
      </c>
      <c r="I630" s="7">
        <v>1923.56994628906</v>
      </c>
      <c r="J630" s="7">
        <v>10.376719985475701</v>
      </c>
      <c r="K630" s="7">
        <v>0</v>
      </c>
    </row>
    <row r="631" spans="1:11" x14ac:dyDescent="0.3">
      <c r="A631" s="4">
        <v>41791</v>
      </c>
      <c r="B631" s="5">
        <v>0.1</v>
      </c>
      <c r="C631" s="11">
        <v>237.23099999999999</v>
      </c>
      <c r="D631" s="6">
        <v>102.735</v>
      </c>
      <c r="E631" s="5">
        <v>4.8</v>
      </c>
      <c r="F631" s="5">
        <v>4.25</v>
      </c>
      <c r="G631" s="5">
        <f t="shared" si="9"/>
        <v>0.54999999999999982</v>
      </c>
      <c r="H631" s="6">
        <v>1676.8043</v>
      </c>
      <c r="I631" s="7">
        <v>1960.22998046875</v>
      </c>
      <c r="J631" s="7">
        <v>7.30329427389408</v>
      </c>
      <c r="K631" s="7">
        <v>0</v>
      </c>
    </row>
    <row r="632" spans="1:11" x14ac:dyDescent="0.3">
      <c r="A632" s="4">
        <v>41821</v>
      </c>
      <c r="B632" s="5">
        <v>0.09</v>
      </c>
      <c r="C632" s="11">
        <v>237.49799999999999</v>
      </c>
      <c r="D632" s="6">
        <v>102.9632</v>
      </c>
      <c r="E632" s="5">
        <v>4.7300000000000004</v>
      </c>
      <c r="F632" s="5">
        <v>4.16</v>
      </c>
      <c r="G632" s="5">
        <f t="shared" si="9"/>
        <v>0.57000000000000028</v>
      </c>
      <c r="H632" s="6">
        <v>1694.9147</v>
      </c>
      <c r="I632" s="7">
        <v>1930.67004394531</v>
      </c>
      <c r="J632" s="7">
        <v>13.4827632109335</v>
      </c>
      <c r="K632" s="7">
        <v>0</v>
      </c>
    </row>
    <row r="633" spans="1:11" x14ac:dyDescent="0.3">
      <c r="A633" s="4">
        <v>41852</v>
      </c>
      <c r="B633" s="5">
        <v>0.09</v>
      </c>
      <c r="C633" s="11">
        <v>237.46</v>
      </c>
      <c r="D633" s="6">
        <v>102.7688</v>
      </c>
      <c r="E633" s="5">
        <v>4.6900000000000004</v>
      </c>
      <c r="F633" s="5">
        <v>4.08</v>
      </c>
      <c r="G633" s="5">
        <f t="shared" si="9"/>
        <v>0.61000000000000032</v>
      </c>
      <c r="H633" s="6">
        <v>1711.7561000000001</v>
      </c>
      <c r="I633" s="7">
        <v>2003.36999511718</v>
      </c>
      <c r="J633" s="7">
        <v>9.8252278486537001</v>
      </c>
      <c r="K633" s="7">
        <v>0</v>
      </c>
    </row>
    <row r="634" spans="1:11" x14ac:dyDescent="0.3">
      <c r="A634" s="4">
        <v>41883</v>
      </c>
      <c r="B634" s="5">
        <v>0.09</v>
      </c>
      <c r="C634" s="11">
        <v>237.477</v>
      </c>
      <c r="D634" s="6">
        <v>103.0641</v>
      </c>
      <c r="E634" s="5">
        <v>4.8</v>
      </c>
      <c r="F634" s="5">
        <v>4.1100000000000003</v>
      </c>
      <c r="G634" s="5">
        <f t="shared" si="9"/>
        <v>0.6899999999999995</v>
      </c>
      <c r="H634" s="6">
        <v>1725.7351000000001</v>
      </c>
      <c r="I634" s="7">
        <v>1972.2900390625</v>
      </c>
      <c r="J634" s="7">
        <v>11.987762348276901</v>
      </c>
      <c r="K634" s="7">
        <v>0</v>
      </c>
    </row>
    <row r="635" spans="1:11" x14ac:dyDescent="0.3">
      <c r="A635" s="4">
        <v>41913</v>
      </c>
      <c r="B635" s="5">
        <v>0.09</v>
      </c>
      <c r="C635" s="11">
        <v>237.43</v>
      </c>
      <c r="D635" s="6">
        <v>103.07640000000001</v>
      </c>
      <c r="E635" s="5">
        <v>4.6900000000000004</v>
      </c>
      <c r="F635" s="5">
        <v>3.92</v>
      </c>
      <c r="G635" s="5">
        <f t="shared" si="9"/>
        <v>0.77000000000000046</v>
      </c>
      <c r="H635" s="6">
        <v>1730.8096</v>
      </c>
      <c r="I635" s="7">
        <v>2018.05004882812</v>
      </c>
      <c r="J635" s="7">
        <v>23.130007402393801</v>
      </c>
      <c r="K635" s="7">
        <v>1</v>
      </c>
    </row>
    <row r="636" spans="1:11" x14ac:dyDescent="0.3">
      <c r="A636" s="4">
        <v>41944</v>
      </c>
      <c r="B636" s="5">
        <v>0.09</v>
      </c>
      <c r="C636" s="11">
        <v>236.983</v>
      </c>
      <c r="D636" s="6">
        <v>103.71259999999999</v>
      </c>
      <c r="E636" s="5">
        <v>4.79</v>
      </c>
      <c r="F636" s="5">
        <v>3.92</v>
      </c>
      <c r="G636" s="5">
        <f t="shared" si="9"/>
        <v>0.87000000000000011</v>
      </c>
      <c r="H636" s="6">
        <v>1751.6656</v>
      </c>
      <c r="I636" s="7">
        <v>2067.56005859375</v>
      </c>
      <c r="J636" s="7">
        <v>5.1570633930510699</v>
      </c>
      <c r="K636" s="7">
        <v>0</v>
      </c>
    </row>
    <row r="637" spans="1:11" x14ac:dyDescent="0.3">
      <c r="A637" s="4">
        <v>41974</v>
      </c>
      <c r="B637" s="5">
        <v>0.12</v>
      </c>
      <c r="C637" s="11">
        <v>236.25200000000001</v>
      </c>
      <c r="D637" s="6">
        <v>103.70440000000001</v>
      </c>
      <c r="E637" s="5">
        <v>4.74</v>
      </c>
      <c r="F637" s="5">
        <v>3.79</v>
      </c>
      <c r="G637" s="5">
        <f t="shared" si="9"/>
        <v>0.95000000000000018</v>
      </c>
      <c r="H637" s="6">
        <v>1773.1780000000001</v>
      </c>
      <c r="I637" s="7">
        <v>2058.89990234375</v>
      </c>
      <c r="J637" s="7">
        <v>19.499290510044801</v>
      </c>
      <c r="K637" s="7">
        <v>0</v>
      </c>
    </row>
    <row r="638" spans="1:11" x14ac:dyDescent="0.3">
      <c r="A638" s="4">
        <v>42005</v>
      </c>
      <c r="B638" s="5">
        <v>0.11</v>
      </c>
      <c r="C638" s="11">
        <v>234.74700000000001</v>
      </c>
      <c r="D638" s="6">
        <v>102.8905</v>
      </c>
      <c r="E638" s="5">
        <v>4.45</v>
      </c>
      <c r="F638" s="5">
        <v>3.46</v>
      </c>
      <c r="G638" s="5">
        <f t="shared" si="9"/>
        <v>0.99000000000000021</v>
      </c>
      <c r="H638" s="6">
        <v>1791.5772999999999</v>
      </c>
      <c r="I638" s="7">
        <v>1994.98999023437</v>
      </c>
      <c r="J638" s="7">
        <v>21.499984825889101</v>
      </c>
      <c r="K638" s="7">
        <v>1</v>
      </c>
    </row>
    <row r="639" spans="1:11" x14ac:dyDescent="0.3">
      <c r="A639" s="4">
        <v>42036</v>
      </c>
      <c r="B639" s="5">
        <v>0.11</v>
      </c>
      <c r="C639" s="11">
        <v>235.34200000000001</v>
      </c>
      <c r="D639" s="6">
        <v>102.23350000000001</v>
      </c>
      <c r="E639" s="5">
        <v>4.51</v>
      </c>
      <c r="F639" s="5">
        <v>3.61</v>
      </c>
      <c r="G639" s="5">
        <f t="shared" si="9"/>
        <v>0.89999999999999991</v>
      </c>
      <c r="H639" s="6">
        <v>1807.9304</v>
      </c>
      <c r="I639" s="7">
        <v>2104.5</v>
      </c>
      <c r="J639" s="7">
        <v>12.1087260752265</v>
      </c>
      <c r="K639" s="7">
        <v>0</v>
      </c>
    </row>
    <row r="640" spans="1:11" x14ac:dyDescent="0.3">
      <c r="A640" s="4">
        <v>42064</v>
      </c>
      <c r="B640" s="5">
        <v>0.11</v>
      </c>
      <c r="C640" s="11">
        <v>235.976</v>
      </c>
      <c r="D640" s="6">
        <v>101.8914</v>
      </c>
      <c r="E640" s="5">
        <v>4.54</v>
      </c>
      <c r="F640" s="5">
        <v>3.64</v>
      </c>
      <c r="G640" s="5">
        <f t="shared" si="9"/>
        <v>0.89999999999999991</v>
      </c>
      <c r="H640" s="6">
        <v>1833.4502</v>
      </c>
      <c r="I640" s="7">
        <v>2067.88989257812</v>
      </c>
      <c r="J640" s="7">
        <v>18.114609944390999</v>
      </c>
      <c r="K640" s="7">
        <v>0</v>
      </c>
    </row>
    <row r="641" spans="1:11" x14ac:dyDescent="0.3">
      <c r="A641" s="4">
        <v>42095</v>
      </c>
      <c r="B641" s="5">
        <v>0.12</v>
      </c>
      <c r="C641" s="11">
        <v>236.22200000000001</v>
      </c>
      <c r="D641" s="6">
        <v>101.3355</v>
      </c>
      <c r="E641" s="5">
        <v>4.4800000000000004</v>
      </c>
      <c r="F641" s="5">
        <v>3.52</v>
      </c>
      <c r="G641" s="5">
        <f t="shared" si="9"/>
        <v>0.96000000000000041</v>
      </c>
      <c r="H641" s="6">
        <v>1847.9367999999999</v>
      </c>
      <c r="I641" s="7">
        <v>2085.51000976562</v>
      </c>
      <c r="J641" s="7">
        <v>10.736603031371599</v>
      </c>
      <c r="K641" s="7">
        <v>0</v>
      </c>
    </row>
    <row r="642" spans="1:11" x14ac:dyDescent="0.3">
      <c r="A642" s="4">
        <v>42125</v>
      </c>
      <c r="B642" s="5">
        <v>0.12</v>
      </c>
      <c r="C642" s="11">
        <v>237.001</v>
      </c>
      <c r="D642" s="6">
        <v>100.8883</v>
      </c>
      <c r="E642" s="5">
        <v>4.8899999999999997</v>
      </c>
      <c r="F642" s="5">
        <v>3.98</v>
      </c>
      <c r="G642" s="5">
        <f t="shared" si="9"/>
        <v>0.9099999999999997</v>
      </c>
      <c r="H642" s="6">
        <v>1863.5292999999999</v>
      </c>
      <c r="I642" s="7">
        <v>2107.38989257812</v>
      </c>
      <c r="J642" s="7">
        <v>13.654927541888499</v>
      </c>
      <c r="K642" s="7">
        <v>0</v>
      </c>
    </row>
    <row r="643" spans="1:11" x14ac:dyDescent="0.3">
      <c r="A643" s="4">
        <v>42156</v>
      </c>
      <c r="B643" s="5">
        <v>0.13</v>
      </c>
      <c r="C643" s="11">
        <v>237.65700000000001</v>
      </c>
      <c r="D643" s="6">
        <v>100.571</v>
      </c>
      <c r="E643" s="5">
        <v>5.13</v>
      </c>
      <c r="F643" s="5">
        <v>4.1900000000000004</v>
      </c>
      <c r="G643" s="5">
        <f t="shared" ref="G643:G706" si="10">E643-F643</f>
        <v>0.9399999999999995</v>
      </c>
      <c r="H643" s="6">
        <v>1880.1555000000001</v>
      </c>
      <c r="I643" s="7">
        <v>2063.11010742187</v>
      </c>
      <c r="J643" s="7">
        <v>14.1258698330493</v>
      </c>
      <c r="K643" s="7">
        <v>0</v>
      </c>
    </row>
    <row r="644" spans="1:11" x14ac:dyDescent="0.3">
      <c r="A644" s="4">
        <v>42186</v>
      </c>
      <c r="B644" s="5">
        <v>0.13</v>
      </c>
      <c r="C644" s="11">
        <v>238.03399999999999</v>
      </c>
      <c r="D644" s="6">
        <v>101.22280000000001</v>
      </c>
      <c r="E644" s="5">
        <v>5.2</v>
      </c>
      <c r="F644" s="5">
        <v>4.1500000000000004</v>
      </c>
      <c r="G644" s="5">
        <f t="shared" si="10"/>
        <v>1.0499999999999998</v>
      </c>
      <c r="H644" s="6">
        <v>1889.5042000000001</v>
      </c>
      <c r="I644" s="7">
        <v>2103.84008789062</v>
      </c>
      <c r="J644" s="7">
        <v>14.805922217653499</v>
      </c>
      <c r="K644" s="7">
        <v>0</v>
      </c>
    </row>
    <row r="645" spans="1:11" x14ac:dyDescent="0.3">
      <c r="A645" s="4">
        <v>42217</v>
      </c>
      <c r="B645" s="5">
        <v>0.14000000000000001</v>
      </c>
      <c r="C645" s="11">
        <v>238.03299999999999</v>
      </c>
      <c r="D645" s="6">
        <v>101.0367</v>
      </c>
      <c r="E645" s="5">
        <v>5.19</v>
      </c>
      <c r="F645" s="5">
        <v>4.04</v>
      </c>
      <c r="G645" s="5">
        <f t="shared" si="10"/>
        <v>1.1500000000000004</v>
      </c>
      <c r="H645" s="6">
        <v>1903.4103</v>
      </c>
      <c r="I645" s="7">
        <v>1972.18005371093</v>
      </c>
      <c r="J645" s="7">
        <v>33.849069779315897</v>
      </c>
      <c r="K645" s="7">
        <v>1</v>
      </c>
    </row>
    <row r="646" spans="1:11" x14ac:dyDescent="0.3">
      <c r="A646" s="4">
        <v>42248</v>
      </c>
      <c r="B646" s="5">
        <v>0.14000000000000001</v>
      </c>
      <c r="C646" s="11">
        <v>237.49799999999999</v>
      </c>
      <c r="D646" s="6">
        <v>100.7547</v>
      </c>
      <c r="E646" s="5">
        <v>5.34</v>
      </c>
      <c r="F646" s="5">
        <v>4.07</v>
      </c>
      <c r="G646" s="5">
        <f t="shared" si="10"/>
        <v>1.2699999999999996</v>
      </c>
      <c r="H646" s="6">
        <v>1915.348</v>
      </c>
      <c r="I646" s="7">
        <v>1920.03002929687</v>
      </c>
      <c r="J646" s="7">
        <v>28.5486660074009</v>
      </c>
      <c r="K646" s="7">
        <v>1</v>
      </c>
    </row>
    <row r="647" spans="1:11" x14ac:dyDescent="0.3">
      <c r="A647" s="4">
        <v>42278</v>
      </c>
      <c r="B647" s="5">
        <v>0.12</v>
      </c>
      <c r="C647" s="11">
        <v>237.733</v>
      </c>
      <c r="D647" s="6">
        <v>100.2675</v>
      </c>
      <c r="E647" s="5">
        <v>5.34</v>
      </c>
      <c r="F647" s="5">
        <v>3.95</v>
      </c>
      <c r="G647" s="5">
        <f t="shared" si="10"/>
        <v>1.3899999999999997</v>
      </c>
      <c r="H647" s="6">
        <v>1930.1677</v>
      </c>
      <c r="I647" s="7">
        <v>2079.36010742187</v>
      </c>
      <c r="J647" s="7">
        <v>15.8553564814727</v>
      </c>
      <c r="K647" s="7">
        <v>0</v>
      </c>
    </row>
    <row r="648" spans="1:11" x14ac:dyDescent="0.3">
      <c r="A648" s="4">
        <v>42309</v>
      </c>
      <c r="B648" s="5">
        <v>0.12</v>
      </c>
      <c r="C648" s="11">
        <v>238.017</v>
      </c>
      <c r="D648" s="6">
        <v>99.529799999999994</v>
      </c>
      <c r="E648" s="5">
        <v>5.46</v>
      </c>
      <c r="F648" s="5">
        <v>4.0599999999999996</v>
      </c>
      <c r="G648" s="5">
        <f t="shared" si="10"/>
        <v>1.4000000000000004</v>
      </c>
      <c r="H648" s="6">
        <v>1946.3666000000001</v>
      </c>
      <c r="I648" s="7">
        <v>2080.40991210937</v>
      </c>
      <c r="J648" s="7">
        <v>15.378407470624399</v>
      </c>
      <c r="K648" s="7">
        <v>0</v>
      </c>
    </row>
    <row r="649" spans="1:11" x14ac:dyDescent="0.3">
      <c r="A649" s="4">
        <v>42339</v>
      </c>
      <c r="B649" s="5">
        <v>0.24</v>
      </c>
      <c r="C649" s="11">
        <v>237.761</v>
      </c>
      <c r="D649" s="6">
        <v>99.041700000000006</v>
      </c>
      <c r="E649" s="5">
        <v>5.46</v>
      </c>
      <c r="F649" s="5">
        <v>3.97</v>
      </c>
      <c r="G649" s="5">
        <f t="shared" si="10"/>
        <v>1.4899999999999998</v>
      </c>
      <c r="H649" s="6">
        <v>1952.8521000000001</v>
      </c>
      <c r="I649" s="7">
        <v>2043.93994140625</v>
      </c>
      <c r="J649" s="7">
        <v>23.3022804207292</v>
      </c>
      <c r="K649" s="7">
        <v>1</v>
      </c>
    </row>
    <row r="650" spans="1:11" x14ac:dyDescent="0.3">
      <c r="A650" s="4">
        <v>42370</v>
      </c>
      <c r="B650" s="5">
        <v>0.34</v>
      </c>
      <c r="C650" s="11">
        <v>237.65199999999999</v>
      </c>
      <c r="D650" s="6">
        <v>99.560699999999997</v>
      </c>
      <c r="E650" s="5">
        <v>5.45</v>
      </c>
      <c r="F650" s="5">
        <v>4</v>
      </c>
      <c r="G650" s="5">
        <f t="shared" si="10"/>
        <v>1.4500000000000002</v>
      </c>
      <c r="H650" s="6">
        <v>1963.8478</v>
      </c>
      <c r="I650" s="7">
        <v>1940.23999023437</v>
      </c>
      <c r="J650" s="7">
        <v>30.597248144431099</v>
      </c>
      <c r="K650" s="7">
        <v>1</v>
      </c>
    </row>
    <row r="651" spans="1:11" x14ac:dyDescent="0.3">
      <c r="A651" s="4">
        <v>42401</v>
      </c>
      <c r="B651" s="5">
        <v>0.38</v>
      </c>
      <c r="C651" s="11">
        <v>237.33600000000001</v>
      </c>
      <c r="D651" s="6">
        <v>99.044499999999999</v>
      </c>
      <c r="E651" s="5">
        <v>5.34</v>
      </c>
      <c r="F651" s="5">
        <v>3.96</v>
      </c>
      <c r="G651" s="5">
        <f t="shared" si="10"/>
        <v>1.38</v>
      </c>
      <c r="H651" s="6">
        <v>1987.1478</v>
      </c>
      <c r="I651" s="7">
        <v>1932.22998046875</v>
      </c>
      <c r="J651" s="7">
        <v>23.485896275832399</v>
      </c>
      <c r="K651" s="7">
        <v>1</v>
      </c>
    </row>
    <row r="652" spans="1:11" x14ac:dyDescent="0.3">
      <c r="A652" s="4">
        <v>42430</v>
      </c>
      <c r="B652" s="5">
        <v>0.36</v>
      </c>
      <c r="C652" s="11">
        <v>238.08</v>
      </c>
      <c r="D652" s="6">
        <v>98.309600000000003</v>
      </c>
      <c r="E652" s="5">
        <v>5.13</v>
      </c>
      <c r="F652" s="5">
        <v>3.82</v>
      </c>
      <c r="G652" s="5">
        <f t="shared" si="10"/>
        <v>1.31</v>
      </c>
      <c r="H652" s="6">
        <v>2017.6234999999999</v>
      </c>
      <c r="I652" s="7">
        <v>2059.73999023437</v>
      </c>
      <c r="J652" s="7">
        <v>14.336822443437701</v>
      </c>
      <c r="K652" s="7">
        <v>0</v>
      </c>
    </row>
    <row r="653" spans="1:11" x14ac:dyDescent="0.3">
      <c r="A653" s="4">
        <v>42461</v>
      </c>
      <c r="B653" s="5">
        <v>0.37</v>
      </c>
      <c r="C653" s="11">
        <v>238.99199999999999</v>
      </c>
      <c r="D653" s="6">
        <v>98.642099999999999</v>
      </c>
      <c r="E653" s="5">
        <v>4.79</v>
      </c>
      <c r="F653" s="5">
        <v>3.62</v>
      </c>
      <c r="G653" s="5">
        <f t="shared" si="10"/>
        <v>1.17</v>
      </c>
      <c r="H653" s="6">
        <v>2033.4459999999999</v>
      </c>
      <c r="I653" s="7">
        <v>2065.30004882812</v>
      </c>
      <c r="J653" s="7">
        <v>12.8364550227252</v>
      </c>
      <c r="K653" s="7">
        <v>0</v>
      </c>
    </row>
    <row r="654" spans="1:11" x14ac:dyDescent="0.3">
      <c r="A654" s="4">
        <v>42491</v>
      </c>
      <c r="B654" s="5">
        <v>0.37</v>
      </c>
      <c r="C654" s="11">
        <v>239.55699999999999</v>
      </c>
      <c r="D654" s="6">
        <v>98.418400000000005</v>
      </c>
      <c r="E654" s="5">
        <v>4.68</v>
      </c>
      <c r="F654" s="5">
        <v>3.65</v>
      </c>
      <c r="G654" s="5">
        <f t="shared" si="10"/>
        <v>1.0299999999999998</v>
      </c>
      <c r="H654" s="6">
        <v>2048.1212</v>
      </c>
      <c r="I654" s="7">
        <v>2096.94995117187</v>
      </c>
      <c r="J654" s="7">
        <v>14.0622016768845</v>
      </c>
      <c r="K654" s="7">
        <v>0</v>
      </c>
    </row>
    <row r="655" spans="1:11" x14ac:dyDescent="0.3">
      <c r="A655" s="4">
        <v>42522</v>
      </c>
      <c r="B655" s="5">
        <v>0.38</v>
      </c>
      <c r="C655" s="11">
        <v>240.22200000000001</v>
      </c>
      <c r="D655" s="6">
        <v>98.883300000000006</v>
      </c>
      <c r="E655" s="5">
        <v>4.53</v>
      </c>
      <c r="F655" s="5">
        <v>3.5</v>
      </c>
      <c r="G655" s="5">
        <f t="shared" si="10"/>
        <v>1.0300000000000002</v>
      </c>
      <c r="H655" s="6">
        <v>2050.7824000000001</v>
      </c>
      <c r="I655" s="7">
        <v>2098.86010742187</v>
      </c>
      <c r="J655" s="7">
        <v>23.6081634835841</v>
      </c>
      <c r="K655" s="7">
        <v>1</v>
      </c>
    </row>
    <row r="656" spans="1:11" x14ac:dyDescent="0.3">
      <c r="A656" s="4">
        <v>42552</v>
      </c>
      <c r="B656" s="5">
        <v>0.39</v>
      </c>
      <c r="C656" s="11">
        <v>240.101</v>
      </c>
      <c r="D656" s="6">
        <v>98.999200000000002</v>
      </c>
      <c r="E656" s="5">
        <v>4.22</v>
      </c>
      <c r="F656" s="5">
        <v>3.28</v>
      </c>
      <c r="G656" s="5">
        <f t="shared" si="10"/>
        <v>0.94</v>
      </c>
      <c r="H656" s="6">
        <v>2057.7701999999999</v>
      </c>
      <c r="I656" s="7">
        <v>2173.60009765625</v>
      </c>
      <c r="J656" s="7">
        <v>9.3537504010139791</v>
      </c>
      <c r="K656" s="7">
        <v>0</v>
      </c>
    </row>
    <row r="657" spans="1:11" x14ac:dyDescent="0.3">
      <c r="A657" s="4">
        <v>42583</v>
      </c>
      <c r="B657" s="5">
        <v>0.4</v>
      </c>
      <c r="C657" s="11">
        <v>240.54499999999999</v>
      </c>
      <c r="D657" s="6">
        <v>98.85</v>
      </c>
      <c r="E657" s="5">
        <v>4.24</v>
      </c>
      <c r="F657" s="5">
        <v>3.32</v>
      </c>
      <c r="G657" s="5">
        <f t="shared" si="10"/>
        <v>0.92000000000000037</v>
      </c>
      <c r="H657" s="6">
        <v>2051.3597</v>
      </c>
      <c r="I657" s="7">
        <v>2170.94995117187</v>
      </c>
      <c r="J657" s="7">
        <v>7.1462248394311203</v>
      </c>
      <c r="K657" s="7">
        <v>0</v>
      </c>
    </row>
    <row r="658" spans="1:11" x14ac:dyDescent="0.3">
      <c r="A658" s="4">
        <v>42614</v>
      </c>
      <c r="B658" s="5">
        <v>0.4</v>
      </c>
      <c r="C658" s="11">
        <v>241.17599999999999</v>
      </c>
      <c r="D658" s="6">
        <v>98.745699999999999</v>
      </c>
      <c r="E658" s="5">
        <v>4.3099999999999996</v>
      </c>
      <c r="F658" s="5">
        <v>3.41</v>
      </c>
      <c r="G658" s="5">
        <f t="shared" si="10"/>
        <v>0.89999999999999947</v>
      </c>
      <c r="H658" s="6">
        <v>2070.3166000000001</v>
      </c>
      <c r="I658" s="7">
        <v>2168.27001953125</v>
      </c>
      <c r="J658" s="7">
        <v>18.434626167398999</v>
      </c>
      <c r="K658" s="7">
        <v>0</v>
      </c>
    </row>
    <row r="659" spans="1:11" x14ac:dyDescent="0.3">
      <c r="A659" s="4">
        <v>42644</v>
      </c>
      <c r="B659" s="5">
        <v>0.4</v>
      </c>
      <c r="C659" s="11">
        <v>241.74100000000001</v>
      </c>
      <c r="D659" s="6">
        <v>98.761099999999999</v>
      </c>
      <c r="E659" s="5">
        <v>4.38</v>
      </c>
      <c r="F659" s="5">
        <v>3.51</v>
      </c>
      <c r="G659" s="5">
        <f t="shared" si="10"/>
        <v>0.87000000000000011</v>
      </c>
      <c r="H659" s="6">
        <v>2086.261</v>
      </c>
      <c r="I659" s="7">
        <v>2126.14990234375</v>
      </c>
      <c r="J659" s="7">
        <v>8.3683687059078196</v>
      </c>
      <c r="K659" s="7">
        <v>0</v>
      </c>
    </row>
    <row r="660" spans="1:11" x14ac:dyDescent="0.3">
      <c r="A660" s="4">
        <v>42675</v>
      </c>
      <c r="B660" s="5">
        <v>0.41</v>
      </c>
      <c r="C660" s="11">
        <v>242.02600000000001</v>
      </c>
      <c r="D660" s="6">
        <v>98.349100000000007</v>
      </c>
      <c r="E660" s="5">
        <v>4.71</v>
      </c>
      <c r="F660" s="5">
        <v>3.86</v>
      </c>
      <c r="G660" s="5">
        <f t="shared" si="10"/>
        <v>0.85000000000000009</v>
      </c>
      <c r="H660" s="6">
        <v>2089.4400999999998</v>
      </c>
      <c r="I660" s="7">
        <v>2198.81005859375</v>
      </c>
      <c r="J660" s="7">
        <v>13.318908234915</v>
      </c>
      <c r="K660" s="7">
        <v>0</v>
      </c>
    </row>
    <row r="661" spans="1:11" x14ac:dyDescent="0.3">
      <c r="A661" s="4">
        <v>42705</v>
      </c>
      <c r="B661" s="5">
        <v>0.54</v>
      </c>
      <c r="C661" s="11">
        <v>242.637</v>
      </c>
      <c r="D661" s="6">
        <v>99.0214</v>
      </c>
      <c r="E661" s="5">
        <v>4.83</v>
      </c>
      <c r="F661" s="5">
        <v>4.0599999999999996</v>
      </c>
      <c r="G661" s="5">
        <f t="shared" si="10"/>
        <v>0.77000000000000046</v>
      </c>
      <c r="H661" s="6">
        <v>2083.6421999999998</v>
      </c>
      <c r="I661" s="7">
        <v>2238.830078125</v>
      </c>
      <c r="J661" s="7">
        <v>10.104931898806299</v>
      </c>
      <c r="K661" s="7">
        <v>0</v>
      </c>
    </row>
    <row r="662" spans="1:11" x14ac:dyDescent="0.3">
      <c r="A662" s="4">
        <v>42736</v>
      </c>
      <c r="B662" s="5">
        <v>0.65</v>
      </c>
      <c r="C662" s="11">
        <v>243.61799999999999</v>
      </c>
      <c r="D662" s="6">
        <v>98.761099999999999</v>
      </c>
      <c r="E662" s="5">
        <v>4.66</v>
      </c>
      <c r="F662" s="5">
        <v>3.92</v>
      </c>
      <c r="G662" s="5">
        <f t="shared" si="10"/>
        <v>0.74000000000000021</v>
      </c>
      <c r="H662" s="6">
        <v>2082.1871000000001</v>
      </c>
      <c r="I662" s="7">
        <v>2278.8701171875</v>
      </c>
      <c r="J662" s="7">
        <v>8.2198253981526594</v>
      </c>
      <c r="K662" s="7">
        <v>0</v>
      </c>
    </row>
    <row r="663" spans="1:11" x14ac:dyDescent="0.3">
      <c r="A663" s="4">
        <v>42767</v>
      </c>
      <c r="B663" s="5">
        <v>0.66</v>
      </c>
      <c r="C663" s="11">
        <v>244.006</v>
      </c>
      <c r="D663" s="6">
        <v>98.364599999999996</v>
      </c>
      <c r="E663" s="5">
        <v>4.6399999999999997</v>
      </c>
      <c r="F663" s="5">
        <v>3.95</v>
      </c>
      <c r="G663" s="5">
        <f t="shared" si="10"/>
        <v>0.6899999999999995</v>
      </c>
      <c r="H663" s="6">
        <v>2082.5725000000002</v>
      </c>
      <c r="I663" s="7">
        <v>2363.63989257812</v>
      </c>
      <c r="J663" s="7">
        <v>5.8444744248984897</v>
      </c>
      <c r="K663" s="7">
        <v>0</v>
      </c>
    </row>
    <row r="664" spans="1:11" x14ac:dyDescent="0.3">
      <c r="A664" s="4">
        <v>42795</v>
      </c>
      <c r="B664" s="5">
        <v>0.79</v>
      </c>
      <c r="C664" s="11">
        <v>243.892</v>
      </c>
      <c r="D664" s="6">
        <v>99.0137</v>
      </c>
      <c r="E664" s="5">
        <v>4.68</v>
      </c>
      <c r="F664" s="5">
        <v>4.01</v>
      </c>
      <c r="G664" s="5">
        <f t="shared" si="10"/>
        <v>0.66999999999999993</v>
      </c>
      <c r="H664" s="6">
        <v>2064.8393000000001</v>
      </c>
      <c r="I664" s="7">
        <v>2362.71997070312</v>
      </c>
      <c r="J664" s="7">
        <v>10.254573853108701</v>
      </c>
      <c r="K664" s="7">
        <v>0</v>
      </c>
    </row>
    <row r="665" spans="1:11" x14ac:dyDescent="0.3">
      <c r="A665" s="4">
        <v>42826</v>
      </c>
      <c r="B665" s="5">
        <v>0.9</v>
      </c>
      <c r="C665" s="11">
        <v>244.19300000000001</v>
      </c>
      <c r="D665" s="6">
        <v>100.0224</v>
      </c>
      <c r="E665" s="5">
        <v>4.57</v>
      </c>
      <c r="F665" s="5">
        <v>3.87</v>
      </c>
      <c r="G665" s="5">
        <f t="shared" si="10"/>
        <v>0.70000000000000018</v>
      </c>
      <c r="H665" s="6">
        <v>2067.5158000000001</v>
      </c>
      <c r="I665" s="7">
        <v>2384.19995117187</v>
      </c>
      <c r="J665" s="7">
        <v>9.2743510512812399</v>
      </c>
      <c r="K665" s="7">
        <v>0</v>
      </c>
    </row>
    <row r="666" spans="1:11" x14ac:dyDescent="0.3">
      <c r="A666" s="4">
        <v>42856</v>
      </c>
      <c r="B666" s="5">
        <v>0.91</v>
      </c>
      <c r="C666" s="11">
        <v>244.00399999999999</v>
      </c>
      <c r="D666" s="6">
        <v>100.1408</v>
      </c>
      <c r="E666" s="5">
        <v>4.55</v>
      </c>
      <c r="F666" s="5">
        <v>3.85</v>
      </c>
      <c r="G666" s="5">
        <f t="shared" si="10"/>
        <v>0.69999999999999973</v>
      </c>
      <c r="H666" s="6">
        <v>2071.7384999999999</v>
      </c>
      <c r="I666" s="7">
        <v>2411.80004882812</v>
      </c>
      <c r="J666" s="7">
        <v>9.8194691634499502</v>
      </c>
      <c r="K666" s="7">
        <v>0</v>
      </c>
    </row>
    <row r="667" spans="1:11" x14ac:dyDescent="0.3">
      <c r="A667" s="4">
        <v>42887</v>
      </c>
      <c r="B667" s="5">
        <v>1.04</v>
      </c>
      <c r="C667" s="11">
        <v>244.16300000000001</v>
      </c>
      <c r="D667" s="6">
        <v>100.3471</v>
      </c>
      <c r="E667" s="5">
        <v>4.37</v>
      </c>
      <c r="F667" s="5">
        <v>3.68</v>
      </c>
      <c r="G667" s="5">
        <f t="shared" si="10"/>
        <v>0.69</v>
      </c>
      <c r="H667" s="6">
        <v>2072.9162000000001</v>
      </c>
      <c r="I667" s="7">
        <v>2423.40991210937</v>
      </c>
      <c r="J667" s="7">
        <v>9.2536733388103904</v>
      </c>
      <c r="K667" s="7">
        <v>0</v>
      </c>
    </row>
    <row r="668" spans="1:11" x14ac:dyDescent="0.3">
      <c r="A668" s="4">
        <v>42917</v>
      </c>
      <c r="B668" s="5">
        <v>1.1499999999999999</v>
      </c>
      <c r="C668" s="11">
        <v>244.24299999999999</v>
      </c>
      <c r="D668" s="6">
        <v>100.10680000000001</v>
      </c>
      <c r="E668" s="5">
        <v>4.3899999999999997</v>
      </c>
      <c r="F668" s="5">
        <v>3.7</v>
      </c>
      <c r="G668" s="5">
        <f t="shared" si="10"/>
        <v>0.6899999999999995</v>
      </c>
      <c r="H668" s="6">
        <v>2076.0810000000001</v>
      </c>
      <c r="I668" s="7">
        <v>2470.30004882812</v>
      </c>
      <c r="J668" s="7">
        <v>7.1404152215929404</v>
      </c>
      <c r="K668" s="7">
        <v>0</v>
      </c>
    </row>
    <row r="669" spans="1:11" x14ac:dyDescent="0.3">
      <c r="A669" s="4">
        <v>42948</v>
      </c>
      <c r="B669" s="5">
        <v>1.1599999999999999</v>
      </c>
      <c r="C669" s="11">
        <v>245.18299999999999</v>
      </c>
      <c r="D669" s="6">
        <v>99.692499999999995</v>
      </c>
      <c r="E669" s="5">
        <v>4.3099999999999996</v>
      </c>
      <c r="F669" s="5">
        <v>3.63</v>
      </c>
      <c r="G669" s="5">
        <f t="shared" si="10"/>
        <v>0.67999999999999972</v>
      </c>
      <c r="H669" s="6">
        <v>2084.0958000000001</v>
      </c>
      <c r="I669" s="7">
        <v>2471.64990234375</v>
      </c>
      <c r="J669" s="7">
        <v>11.7835255734052</v>
      </c>
      <c r="K669" s="7">
        <v>0</v>
      </c>
    </row>
    <row r="670" spans="1:11" x14ac:dyDescent="0.3">
      <c r="A670" s="4">
        <v>42979</v>
      </c>
      <c r="B670" s="5">
        <v>1.1499999999999999</v>
      </c>
      <c r="C670" s="11">
        <v>246.435</v>
      </c>
      <c r="D670" s="6">
        <v>99.795400000000001</v>
      </c>
      <c r="E670" s="5">
        <v>4.3</v>
      </c>
      <c r="F670" s="5">
        <v>3.63</v>
      </c>
      <c r="G670" s="5">
        <f t="shared" si="10"/>
        <v>0.66999999999999993</v>
      </c>
      <c r="H670" s="6">
        <v>2102.9052000000001</v>
      </c>
      <c r="I670" s="7">
        <v>2519.36010742187</v>
      </c>
      <c r="J670" s="7">
        <v>7.1049168215935197</v>
      </c>
      <c r="K670" s="7">
        <v>0</v>
      </c>
    </row>
    <row r="671" spans="1:11" x14ac:dyDescent="0.3">
      <c r="A671" s="4">
        <v>43009</v>
      </c>
      <c r="B671" s="5">
        <v>1.1499999999999999</v>
      </c>
      <c r="C671" s="11">
        <v>246.626</v>
      </c>
      <c r="D671" s="6">
        <v>101.0247</v>
      </c>
      <c r="E671" s="5">
        <v>4.32</v>
      </c>
      <c r="F671" s="5">
        <v>3.6</v>
      </c>
      <c r="G671" s="5">
        <f t="shared" si="10"/>
        <v>0.7200000000000002</v>
      </c>
      <c r="H671" s="6">
        <v>2112.9422</v>
      </c>
      <c r="I671" s="7">
        <v>2575.26000976562</v>
      </c>
      <c r="J671" s="7">
        <v>6.1258790570688202</v>
      </c>
      <c r="K671" s="7">
        <v>0</v>
      </c>
    </row>
    <row r="672" spans="1:11" x14ac:dyDescent="0.3">
      <c r="A672" s="4">
        <v>43040</v>
      </c>
      <c r="B672" s="5">
        <v>1.1599999999999999</v>
      </c>
      <c r="C672" s="11">
        <v>247.28399999999999</v>
      </c>
      <c r="D672" s="6">
        <v>101.2664</v>
      </c>
      <c r="E672" s="5">
        <v>4.2699999999999996</v>
      </c>
      <c r="F672" s="5">
        <v>3.57</v>
      </c>
      <c r="G672" s="5">
        <f t="shared" si="10"/>
        <v>0.69999999999999973</v>
      </c>
      <c r="H672" s="6">
        <v>2106.2298999999998</v>
      </c>
      <c r="I672" s="7">
        <v>2647.580078125</v>
      </c>
      <c r="J672" s="7">
        <v>7.98864779498685</v>
      </c>
      <c r="K672" s="7">
        <v>0</v>
      </c>
    </row>
    <row r="673" spans="1:11" x14ac:dyDescent="0.3">
      <c r="A673" s="4">
        <v>43070</v>
      </c>
      <c r="B673" s="5">
        <v>1.3</v>
      </c>
      <c r="C673" s="11">
        <v>247.80500000000001</v>
      </c>
      <c r="D673" s="6">
        <v>101.4644</v>
      </c>
      <c r="E673" s="5">
        <v>4.22</v>
      </c>
      <c r="F673" s="5">
        <v>3.51</v>
      </c>
      <c r="G673" s="5">
        <f t="shared" si="10"/>
        <v>0.71</v>
      </c>
      <c r="H673" s="6">
        <v>2105.3573999999999</v>
      </c>
      <c r="I673" s="7">
        <v>2673.61010742187</v>
      </c>
      <c r="J673" s="7">
        <v>7.1129809833485798</v>
      </c>
      <c r="K673" s="7">
        <v>0</v>
      </c>
    </row>
    <row r="674" spans="1:11" x14ac:dyDescent="0.3">
      <c r="A674" s="4">
        <v>43101</v>
      </c>
      <c r="B674" s="5">
        <v>1.41</v>
      </c>
      <c r="C674" s="11">
        <v>248.85900000000001</v>
      </c>
      <c r="D674" s="6">
        <v>101.46250000000001</v>
      </c>
      <c r="E674" s="5">
        <v>4.26</v>
      </c>
      <c r="F674" s="5">
        <v>3.55</v>
      </c>
      <c r="G674" s="5">
        <f t="shared" si="10"/>
        <v>0.71</v>
      </c>
      <c r="H674" s="6">
        <v>2109.5758999999998</v>
      </c>
      <c r="I674" s="7">
        <v>2823.81005859375</v>
      </c>
      <c r="J674" s="7">
        <v>11.255585900409001</v>
      </c>
      <c r="K674" s="7">
        <v>0</v>
      </c>
    </row>
    <row r="675" spans="1:11" x14ac:dyDescent="0.3">
      <c r="A675" s="4">
        <v>43132</v>
      </c>
      <c r="B675" s="5">
        <v>1.42</v>
      </c>
      <c r="C675" s="11">
        <v>249.529</v>
      </c>
      <c r="D675" s="6">
        <v>101.7085</v>
      </c>
      <c r="E675" s="5">
        <v>4.51</v>
      </c>
      <c r="F675" s="5">
        <v>3.82</v>
      </c>
      <c r="G675" s="5">
        <f t="shared" si="10"/>
        <v>0.69</v>
      </c>
      <c r="H675" s="6">
        <v>2112.0245</v>
      </c>
      <c r="I675" s="7">
        <v>2713.830078125</v>
      </c>
      <c r="J675" s="7">
        <v>34.763985726708803</v>
      </c>
      <c r="K675" s="7">
        <v>1</v>
      </c>
    </row>
    <row r="676" spans="1:11" x14ac:dyDescent="0.3">
      <c r="A676" s="4">
        <v>43160</v>
      </c>
      <c r="B676" s="5">
        <v>1.51</v>
      </c>
      <c r="C676" s="11">
        <v>249.577</v>
      </c>
      <c r="D676" s="6">
        <v>102.2067</v>
      </c>
      <c r="E676" s="5">
        <v>4.6399999999999997</v>
      </c>
      <c r="F676" s="5">
        <v>3.87</v>
      </c>
      <c r="G676" s="5">
        <f t="shared" si="10"/>
        <v>0.76999999999999957</v>
      </c>
      <c r="H676" s="6">
        <v>2123.2264</v>
      </c>
      <c r="I676" s="7">
        <v>2640.8701171875</v>
      </c>
      <c r="J676" s="7">
        <v>25.469947493817401</v>
      </c>
      <c r="K676" s="7">
        <v>1</v>
      </c>
    </row>
    <row r="677" spans="1:11" x14ac:dyDescent="0.3">
      <c r="A677" s="4">
        <v>43191</v>
      </c>
      <c r="B677" s="5">
        <v>1.69</v>
      </c>
      <c r="C677" s="11">
        <v>250.227</v>
      </c>
      <c r="D677" s="6">
        <v>103.3329</v>
      </c>
      <c r="E677" s="5">
        <v>4.67</v>
      </c>
      <c r="F677" s="5">
        <v>3.85</v>
      </c>
      <c r="G677" s="5">
        <f t="shared" si="10"/>
        <v>0.81999999999999984</v>
      </c>
      <c r="H677" s="6">
        <v>2167.1125000000002</v>
      </c>
      <c r="I677" s="7">
        <v>2648.05004882812</v>
      </c>
      <c r="J677" s="7">
        <v>21.8838409320884</v>
      </c>
      <c r="K677" s="7">
        <v>1</v>
      </c>
    </row>
    <row r="678" spans="1:11" x14ac:dyDescent="0.3">
      <c r="A678" s="4">
        <v>43221</v>
      </c>
      <c r="B678" s="5">
        <v>1.7</v>
      </c>
      <c r="C678" s="11">
        <v>250.792</v>
      </c>
      <c r="D678" s="6">
        <v>102.4024</v>
      </c>
      <c r="E678" s="5">
        <v>4.83</v>
      </c>
      <c r="F678" s="5">
        <v>4</v>
      </c>
      <c r="G678" s="5">
        <f t="shared" si="10"/>
        <v>0.83000000000000007</v>
      </c>
      <c r="H678" s="6">
        <v>2173.6765999999998</v>
      </c>
      <c r="I678" s="7">
        <v>2705.27001953125</v>
      </c>
      <c r="J678" s="7">
        <v>13.129555234481501</v>
      </c>
      <c r="K678" s="7">
        <v>0</v>
      </c>
    </row>
    <row r="679" spans="1:11" x14ac:dyDescent="0.3">
      <c r="A679" s="4">
        <v>43252</v>
      </c>
      <c r="B679" s="5">
        <v>1.82</v>
      </c>
      <c r="C679" s="11">
        <v>251.018</v>
      </c>
      <c r="D679" s="6">
        <v>103.19799999999999</v>
      </c>
      <c r="E679" s="5">
        <v>4.83</v>
      </c>
      <c r="F679" s="5">
        <v>3.96</v>
      </c>
      <c r="G679" s="5">
        <f t="shared" si="10"/>
        <v>0.87000000000000011</v>
      </c>
      <c r="H679" s="6">
        <v>2191.1233000000002</v>
      </c>
      <c r="I679" s="7">
        <v>2718.3701171875</v>
      </c>
      <c r="J679" s="7">
        <v>11.205718837470799</v>
      </c>
      <c r="K679" s="7">
        <v>0</v>
      </c>
    </row>
    <row r="680" spans="1:11" x14ac:dyDescent="0.3">
      <c r="A680" s="4">
        <v>43282</v>
      </c>
      <c r="B680" s="5">
        <v>1.91</v>
      </c>
      <c r="C680" s="11">
        <v>251.214</v>
      </c>
      <c r="D680" s="6">
        <v>103.3646</v>
      </c>
      <c r="E680" s="5">
        <v>4.79</v>
      </c>
      <c r="F680" s="5">
        <v>3.87</v>
      </c>
      <c r="G680" s="5">
        <f t="shared" si="10"/>
        <v>0.91999999999999993</v>
      </c>
      <c r="H680" s="6">
        <v>2204.0927999999999</v>
      </c>
      <c r="I680" s="7">
        <v>2816.2900390625</v>
      </c>
      <c r="J680" s="7">
        <v>10.923496076655001</v>
      </c>
      <c r="K680" s="7">
        <v>0</v>
      </c>
    </row>
    <row r="681" spans="1:11" x14ac:dyDescent="0.3">
      <c r="A681" s="4">
        <v>43313</v>
      </c>
      <c r="B681" s="5">
        <v>1.91</v>
      </c>
      <c r="C681" s="11">
        <v>251.66300000000001</v>
      </c>
      <c r="D681" s="6">
        <v>104.03270000000001</v>
      </c>
      <c r="E681" s="5">
        <v>4.7699999999999996</v>
      </c>
      <c r="F681" s="5">
        <v>3.88</v>
      </c>
      <c r="G681" s="5">
        <f t="shared" si="10"/>
        <v>0.88999999999999968</v>
      </c>
      <c r="H681" s="6">
        <v>2209.5556000000001</v>
      </c>
      <c r="I681" s="7">
        <v>2901.52001953125</v>
      </c>
      <c r="J681" s="7">
        <v>8.8921662304875095</v>
      </c>
      <c r="K681" s="7">
        <v>0</v>
      </c>
    </row>
    <row r="682" spans="1:11" x14ac:dyDescent="0.3">
      <c r="A682" s="4">
        <v>43344</v>
      </c>
      <c r="B682" s="5">
        <v>1.95</v>
      </c>
      <c r="C682" s="11">
        <v>252.18199999999999</v>
      </c>
      <c r="D682" s="6">
        <v>104.10039999999999</v>
      </c>
      <c r="E682" s="5">
        <v>4.88</v>
      </c>
      <c r="F682" s="5">
        <v>3.98</v>
      </c>
      <c r="G682" s="5">
        <f t="shared" si="10"/>
        <v>0.89999999999999991</v>
      </c>
      <c r="H682" s="6">
        <v>2225.8849</v>
      </c>
      <c r="I682" s="7">
        <v>2913.97998046875</v>
      </c>
      <c r="J682" s="7">
        <v>7.1541262581589304</v>
      </c>
      <c r="K682" s="7">
        <v>0</v>
      </c>
    </row>
    <row r="683" spans="1:11" x14ac:dyDescent="0.3">
      <c r="A683" s="4">
        <v>43374</v>
      </c>
      <c r="B683" s="5">
        <v>2.19</v>
      </c>
      <c r="C683" s="11">
        <v>252.77199999999999</v>
      </c>
      <c r="D683" s="6">
        <v>103.98560000000001</v>
      </c>
      <c r="E683" s="5">
        <v>5.07</v>
      </c>
      <c r="F683" s="5">
        <v>4.1399999999999997</v>
      </c>
      <c r="G683" s="5">
        <f t="shared" si="10"/>
        <v>0.9300000000000006</v>
      </c>
      <c r="H683" s="6">
        <v>2250.5491000000002</v>
      </c>
      <c r="I683" s="7">
        <v>2711.73999023437</v>
      </c>
      <c r="J683" s="7">
        <v>28.436538593441099</v>
      </c>
      <c r="K683" s="7">
        <v>1</v>
      </c>
    </row>
    <row r="684" spans="1:11" x14ac:dyDescent="0.3">
      <c r="A684" s="4">
        <v>43405</v>
      </c>
      <c r="B684" s="5">
        <v>2.2000000000000002</v>
      </c>
      <c r="C684" s="11">
        <v>252.59399999999999</v>
      </c>
      <c r="D684" s="6">
        <v>104.0681</v>
      </c>
      <c r="E684" s="5">
        <v>5.22</v>
      </c>
      <c r="F684" s="5">
        <v>4.22</v>
      </c>
      <c r="G684" s="5">
        <f t="shared" si="10"/>
        <v>1</v>
      </c>
      <c r="H684" s="6">
        <v>2274.0479999999998</v>
      </c>
      <c r="I684" s="7">
        <v>2760.169921875</v>
      </c>
      <c r="J684" s="7">
        <v>23.814849671120601</v>
      </c>
      <c r="K684" s="7">
        <v>1</v>
      </c>
    </row>
    <row r="685" spans="1:11" x14ac:dyDescent="0.3">
      <c r="A685" s="4">
        <v>43435</v>
      </c>
      <c r="B685" s="5">
        <v>2.27</v>
      </c>
      <c r="C685" s="11">
        <v>252.767</v>
      </c>
      <c r="D685" s="6">
        <v>104.0936</v>
      </c>
      <c r="E685" s="5">
        <v>5.13</v>
      </c>
      <c r="F685" s="5">
        <v>4.0199999999999996</v>
      </c>
      <c r="G685" s="5">
        <f t="shared" si="10"/>
        <v>1.1100000000000003</v>
      </c>
      <c r="H685" s="6">
        <v>2303.6527000000001</v>
      </c>
      <c r="I685" s="7">
        <v>2506.85009765625</v>
      </c>
      <c r="J685" s="7">
        <v>37.519427441081099</v>
      </c>
      <c r="K685" s="7">
        <v>1</v>
      </c>
    </row>
    <row r="686" spans="1:11" x14ac:dyDescent="0.3">
      <c r="A686" s="4">
        <v>43466</v>
      </c>
      <c r="B686" s="5">
        <v>2.4</v>
      </c>
      <c r="C686" s="11">
        <v>252.56100000000001</v>
      </c>
      <c r="D686" s="6">
        <v>103.4021</v>
      </c>
      <c r="E686" s="5">
        <v>5.12</v>
      </c>
      <c r="F686" s="5">
        <v>3.93</v>
      </c>
      <c r="G686" s="5">
        <f t="shared" si="10"/>
        <v>1.19</v>
      </c>
      <c r="H686" s="6">
        <v>2325.3631</v>
      </c>
      <c r="I686" s="7">
        <v>2704.10009765625</v>
      </c>
      <c r="J686" s="7">
        <v>23.358899680756402</v>
      </c>
      <c r="K686" s="7">
        <v>1</v>
      </c>
    </row>
    <row r="687" spans="1:11" x14ac:dyDescent="0.3">
      <c r="A687" s="4">
        <v>43497</v>
      </c>
      <c r="B687" s="5">
        <v>2.4</v>
      </c>
      <c r="C687" s="11">
        <v>253.31899999999999</v>
      </c>
      <c r="D687" s="6">
        <v>102.83710000000001</v>
      </c>
      <c r="E687" s="5">
        <v>4.95</v>
      </c>
      <c r="F687" s="5">
        <v>3.79</v>
      </c>
      <c r="G687" s="5">
        <f t="shared" si="10"/>
        <v>1.1600000000000001</v>
      </c>
      <c r="H687" s="6">
        <v>2332.0383000000002</v>
      </c>
      <c r="I687" s="7">
        <v>2784.48999023437</v>
      </c>
      <c r="J687" s="7">
        <v>10.410587103804099</v>
      </c>
      <c r="K687" s="7">
        <v>0</v>
      </c>
    </row>
    <row r="688" spans="1:11" x14ac:dyDescent="0.3">
      <c r="A688" s="4">
        <v>43525</v>
      </c>
      <c r="B688" s="5">
        <v>2.41</v>
      </c>
      <c r="C688" s="11">
        <v>254.27699999999999</v>
      </c>
      <c r="D688" s="6">
        <v>102.87569999999999</v>
      </c>
      <c r="E688" s="5">
        <v>4.84</v>
      </c>
      <c r="F688" s="5">
        <v>3.77</v>
      </c>
      <c r="G688" s="5">
        <f t="shared" si="10"/>
        <v>1.0699999999999998</v>
      </c>
      <c r="H688" s="6">
        <v>2337.5318000000002</v>
      </c>
      <c r="I688" s="7">
        <v>2834.39990234375</v>
      </c>
      <c r="J688" s="7">
        <v>14.848048542031799</v>
      </c>
      <c r="K688" s="7">
        <v>0</v>
      </c>
    </row>
    <row r="689" spans="1:11" x14ac:dyDescent="0.3">
      <c r="A689" s="4">
        <v>43556</v>
      </c>
      <c r="B689" s="5">
        <v>2.42</v>
      </c>
      <c r="C689" s="11">
        <v>255.233</v>
      </c>
      <c r="D689" s="6">
        <v>102.274</v>
      </c>
      <c r="E689" s="5">
        <v>4.7</v>
      </c>
      <c r="F689" s="5">
        <v>3.69</v>
      </c>
      <c r="G689" s="5">
        <f t="shared" si="10"/>
        <v>1.0100000000000002</v>
      </c>
      <c r="H689" s="6">
        <v>2329.4490000000001</v>
      </c>
      <c r="I689" s="7">
        <v>2945.830078125</v>
      </c>
      <c r="J689" s="7">
        <v>7.7895114139386203</v>
      </c>
      <c r="K689" s="7">
        <v>0</v>
      </c>
    </row>
    <row r="690" spans="1:11" x14ac:dyDescent="0.3">
      <c r="A690" s="4">
        <v>43586</v>
      </c>
      <c r="B690" s="5">
        <v>2.39</v>
      </c>
      <c r="C690" s="11">
        <v>255.29599999999999</v>
      </c>
      <c r="D690" s="6">
        <v>102.392</v>
      </c>
      <c r="E690" s="5">
        <v>4.63</v>
      </c>
      <c r="F690" s="5">
        <v>3.67</v>
      </c>
      <c r="G690" s="5">
        <f t="shared" si="10"/>
        <v>0.96</v>
      </c>
      <c r="H690" s="6">
        <v>2334.1017999999999</v>
      </c>
      <c r="I690" s="7">
        <v>2752.06005859375</v>
      </c>
      <c r="J690" s="7">
        <v>17.7584189583906</v>
      </c>
      <c r="K690" s="7">
        <v>0</v>
      </c>
    </row>
    <row r="691" spans="1:11" x14ac:dyDescent="0.3">
      <c r="A691" s="4">
        <v>43617</v>
      </c>
      <c r="B691" s="5">
        <v>2.38</v>
      </c>
      <c r="C691" s="11">
        <v>255.21299999999999</v>
      </c>
      <c r="D691" s="6">
        <v>102.4375</v>
      </c>
      <c r="E691" s="5">
        <v>4.46</v>
      </c>
      <c r="F691" s="5">
        <v>3.42</v>
      </c>
      <c r="G691" s="5">
        <f t="shared" si="10"/>
        <v>1.04</v>
      </c>
      <c r="H691" s="6">
        <v>2338.7658000000001</v>
      </c>
      <c r="I691" s="7">
        <v>2941.76000976562</v>
      </c>
      <c r="J691" s="7">
        <v>13.2670341271178</v>
      </c>
      <c r="K691" s="7">
        <v>0</v>
      </c>
    </row>
    <row r="692" spans="1:11" x14ac:dyDescent="0.3">
      <c r="A692" s="4">
        <v>43647</v>
      </c>
      <c r="B692" s="5">
        <v>2.4</v>
      </c>
      <c r="C692" s="11">
        <v>255.80199999999999</v>
      </c>
      <c r="D692" s="6">
        <v>101.9408</v>
      </c>
      <c r="E692" s="5">
        <v>4.28</v>
      </c>
      <c r="F692" s="5">
        <v>3.29</v>
      </c>
      <c r="G692" s="5">
        <f t="shared" si="10"/>
        <v>0.99000000000000021</v>
      </c>
      <c r="H692" s="6">
        <v>2345.4666000000002</v>
      </c>
      <c r="I692" s="7">
        <v>2980.3798828125</v>
      </c>
      <c r="J692" s="7">
        <v>10.6043307201369</v>
      </c>
      <c r="K692" s="7">
        <v>0</v>
      </c>
    </row>
    <row r="693" spans="1:11" x14ac:dyDescent="0.3">
      <c r="A693" s="4">
        <v>43678</v>
      </c>
      <c r="B693" s="5">
        <v>2.13</v>
      </c>
      <c r="C693" s="11">
        <v>256.036</v>
      </c>
      <c r="D693" s="6">
        <v>102.639</v>
      </c>
      <c r="E693" s="5">
        <v>3.87</v>
      </c>
      <c r="F693" s="5">
        <v>2.98</v>
      </c>
      <c r="G693" s="5">
        <f t="shared" si="10"/>
        <v>0.89000000000000012</v>
      </c>
      <c r="H693" s="6">
        <v>2363.8488000000002</v>
      </c>
      <c r="I693" s="7">
        <v>2926.4599609375</v>
      </c>
      <c r="J693" s="7">
        <v>28.939538085037199</v>
      </c>
      <c r="K693" s="7">
        <v>1</v>
      </c>
    </row>
    <row r="694" spans="1:11" x14ac:dyDescent="0.3">
      <c r="A694" s="4">
        <v>43709</v>
      </c>
      <c r="B694" s="5">
        <v>2.04</v>
      </c>
      <c r="C694" s="11">
        <v>256.43</v>
      </c>
      <c r="D694" s="6">
        <v>102.29170000000001</v>
      </c>
      <c r="E694" s="5">
        <v>3.91</v>
      </c>
      <c r="F694" s="5">
        <v>3.03</v>
      </c>
      <c r="G694" s="5">
        <f t="shared" si="10"/>
        <v>0.88000000000000034</v>
      </c>
      <c r="H694" s="6">
        <v>2370.4403000000002</v>
      </c>
      <c r="I694" s="7">
        <v>2976.73999023437</v>
      </c>
      <c r="J694" s="7">
        <v>11.1675420762498</v>
      </c>
      <c r="K694" s="7">
        <v>0</v>
      </c>
    </row>
    <row r="695" spans="1:11" x14ac:dyDescent="0.3">
      <c r="A695" s="4">
        <v>43739</v>
      </c>
      <c r="B695" s="5">
        <v>1.83</v>
      </c>
      <c r="C695" s="11">
        <v>257.15499999999997</v>
      </c>
      <c r="D695" s="6">
        <v>101.4281</v>
      </c>
      <c r="E695" s="5">
        <v>3.92</v>
      </c>
      <c r="F695" s="5">
        <v>3.01</v>
      </c>
      <c r="G695" s="5">
        <f t="shared" si="10"/>
        <v>0.91000000000000014</v>
      </c>
      <c r="H695" s="6">
        <v>2370.4461999999999</v>
      </c>
      <c r="I695" s="7">
        <v>3037.56005859375</v>
      </c>
      <c r="J695" s="7">
        <v>16.560222340088501</v>
      </c>
      <c r="K695" s="7">
        <v>0</v>
      </c>
    </row>
    <row r="696" spans="1:11" x14ac:dyDescent="0.3">
      <c r="A696" s="4">
        <v>43770</v>
      </c>
      <c r="B696" s="5">
        <v>1.55</v>
      </c>
      <c r="C696" s="11">
        <v>257.87900000000002</v>
      </c>
      <c r="D696" s="6">
        <v>101.9372</v>
      </c>
      <c r="E696" s="5">
        <v>3.94</v>
      </c>
      <c r="F696" s="5">
        <v>3.06</v>
      </c>
      <c r="G696" s="5">
        <f t="shared" si="10"/>
        <v>0.87999999999999989</v>
      </c>
      <c r="H696" s="6">
        <v>2368.866</v>
      </c>
      <c r="I696" s="7">
        <v>3140.97998046875</v>
      </c>
      <c r="J696" s="7">
        <v>7.2601717277712199</v>
      </c>
      <c r="K696" s="7">
        <v>0</v>
      </c>
    </row>
    <row r="697" spans="1:11" x14ac:dyDescent="0.3">
      <c r="A697" s="4">
        <v>43800</v>
      </c>
      <c r="B697" s="5">
        <v>1.55</v>
      </c>
      <c r="C697" s="11">
        <v>258.63</v>
      </c>
      <c r="D697" s="6">
        <v>101.7003</v>
      </c>
      <c r="E697" s="5">
        <v>3.88</v>
      </c>
      <c r="F697" s="5">
        <v>3.01</v>
      </c>
      <c r="G697" s="5">
        <f t="shared" si="10"/>
        <v>0.87000000000000011</v>
      </c>
      <c r="H697" s="6">
        <v>2357.6035000000002</v>
      </c>
      <c r="I697" s="7">
        <v>3230.78002929687</v>
      </c>
      <c r="J697" s="7">
        <v>9.6624626510655691</v>
      </c>
      <c r="K697" s="7">
        <v>0</v>
      </c>
    </row>
    <row r="698" spans="1:11" x14ac:dyDescent="0.3">
      <c r="A698" s="4">
        <v>43831</v>
      </c>
      <c r="B698" s="5">
        <v>1.55</v>
      </c>
      <c r="C698" s="11">
        <v>259.12700000000001</v>
      </c>
      <c r="D698" s="6">
        <v>101.0338</v>
      </c>
      <c r="E698" s="5">
        <v>3.77</v>
      </c>
      <c r="F698" s="5">
        <v>2.94</v>
      </c>
      <c r="G698" s="5">
        <f t="shared" si="10"/>
        <v>0.83000000000000007</v>
      </c>
      <c r="H698" s="6">
        <v>2353.8701000000001</v>
      </c>
      <c r="I698" s="7">
        <v>3225.52001953125</v>
      </c>
      <c r="J698" s="7">
        <v>15.0672996463201</v>
      </c>
      <c r="K698" s="7">
        <v>0</v>
      </c>
    </row>
    <row r="699" spans="1:11" x14ac:dyDescent="0.3">
      <c r="A699" s="4">
        <v>43862</v>
      </c>
      <c r="B699" s="5">
        <v>1.58</v>
      </c>
      <c r="C699" s="11">
        <v>259.25</v>
      </c>
      <c r="D699" s="6">
        <v>101.37350000000001</v>
      </c>
      <c r="E699" s="5">
        <v>3.61</v>
      </c>
      <c r="F699" s="5">
        <v>2.78</v>
      </c>
      <c r="G699" s="5">
        <f t="shared" si="10"/>
        <v>0.83000000000000007</v>
      </c>
      <c r="H699" s="6">
        <v>2350.6023</v>
      </c>
      <c r="I699" s="7">
        <v>2954.21997070312</v>
      </c>
      <c r="J699" s="7">
        <v>31.825397753708</v>
      </c>
      <c r="K699" s="7">
        <v>1</v>
      </c>
    </row>
    <row r="700" spans="1:11" x14ac:dyDescent="0.3">
      <c r="A700" s="4">
        <v>43891</v>
      </c>
      <c r="B700" s="5">
        <v>0.65</v>
      </c>
      <c r="C700" s="11">
        <v>258.07600000000002</v>
      </c>
      <c r="D700" s="6">
        <v>97.407799999999995</v>
      </c>
      <c r="E700" s="5">
        <v>4.29</v>
      </c>
      <c r="F700" s="5">
        <v>3.02</v>
      </c>
      <c r="G700" s="5">
        <f t="shared" si="10"/>
        <v>1.27</v>
      </c>
      <c r="H700" s="6">
        <v>2564.3081999999999</v>
      </c>
      <c r="I700" s="7">
        <v>2584.59008789062</v>
      </c>
      <c r="J700" s="7">
        <v>119.11237415476501</v>
      </c>
      <c r="K700" s="7">
        <v>1</v>
      </c>
    </row>
    <row r="701" spans="1:11" x14ac:dyDescent="0.3">
      <c r="A701" s="4">
        <v>43922</v>
      </c>
      <c r="B701" s="5">
        <v>0.05</v>
      </c>
      <c r="C701" s="11">
        <v>256.03199999999998</v>
      </c>
      <c r="D701" s="6">
        <v>84.561899999999994</v>
      </c>
      <c r="E701" s="5">
        <v>4.13</v>
      </c>
      <c r="F701" s="5">
        <v>2.4300000000000002</v>
      </c>
      <c r="G701" s="5">
        <f t="shared" si="10"/>
        <v>1.6999999999999997</v>
      </c>
      <c r="H701" s="6">
        <v>2920.8995</v>
      </c>
      <c r="I701" s="7">
        <v>2912.42993164062</v>
      </c>
      <c r="J701" s="7">
        <v>51.784474536709801</v>
      </c>
      <c r="K701" s="7">
        <v>1</v>
      </c>
    </row>
    <row r="702" spans="1:11" x14ac:dyDescent="0.3">
      <c r="A702" s="4">
        <v>43952</v>
      </c>
      <c r="B702" s="5">
        <v>0.05</v>
      </c>
      <c r="C702" s="11">
        <v>255.80199999999999</v>
      </c>
      <c r="D702" s="6">
        <v>85.960400000000007</v>
      </c>
      <c r="E702" s="5">
        <v>3.95</v>
      </c>
      <c r="F702" s="5">
        <v>2.5</v>
      </c>
      <c r="G702" s="5">
        <f t="shared" si="10"/>
        <v>1.4500000000000002</v>
      </c>
      <c r="H702" s="6">
        <v>3035.7977000000001</v>
      </c>
      <c r="I702" s="7">
        <v>3044.31005859375</v>
      </c>
      <c r="J702" s="7">
        <v>28.990994823812201</v>
      </c>
      <c r="K702" s="7">
        <v>1</v>
      </c>
    </row>
    <row r="703" spans="1:11" x14ac:dyDescent="0.3">
      <c r="A703" s="4">
        <v>43983</v>
      </c>
      <c r="B703" s="5">
        <v>0.08</v>
      </c>
      <c r="C703" s="11">
        <v>257.04199999999997</v>
      </c>
      <c r="D703" s="6">
        <v>91.593400000000003</v>
      </c>
      <c r="E703" s="5">
        <v>3.64</v>
      </c>
      <c r="F703" s="5">
        <v>2.44</v>
      </c>
      <c r="G703" s="5">
        <f t="shared" si="10"/>
        <v>1.2000000000000002</v>
      </c>
      <c r="H703" s="6">
        <v>2925.2981</v>
      </c>
      <c r="I703" s="7">
        <v>3100.2900390625</v>
      </c>
      <c r="J703" s="7">
        <v>37.692434686252497</v>
      </c>
      <c r="K703" s="7">
        <v>1</v>
      </c>
    </row>
    <row r="704" spans="1:11" x14ac:dyDescent="0.3">
      <c r="A704" s="4">
        <v>44013</v>
      </c>
      <c r="B704" s="5">
        <v>0.09</v>
      </c>
      <c r="C704" s="11">
        <v>258.35199999999998</v>
      </c>
      <c r="D704" s="6">
        <v>95.025599999999997</v>
      </c>
      <c r="E704" s="5">
        <v>3.31</v>
      </c>
      <c r="F704" s="5">
        <v>2.14</v>
      </c>
      <c r="G704" s="5">
        <f t="shared" si="10"/>
        <v>1.17</v>
      </c>
      <c r="H704" s="6">
        <v>2856.1300999999999</v>
      </c>
      <c r="I704" s="7">
        <v>3271.1201171875</v>
      </c>
      <c r="J704" s="7">
        <v>16.793527591848399</v>
      </c>
      <c r="K704" s="7">
        <v>0</v>
      </c>
    </row>
    <row r="705" spans="1:11" x14ac:dyDescent="0.3">
      <c r="A705" s="4">
        <v>44044</v>
      </c>
      <c r="B705" s="5">
        <v>0.1</v>
      </c>
      <c r="C705" s="11">
        <v>259.31599999999997</v>
      </c>
      <c r="D705" s="6">
        <v>95.954899999999995</v>
      </c>
      <c r="E705" s="5">
        <v>3.27</v>
      </c>
      <c r="F705" s="5">
        <v>2.25</v>
      </c>
      <c r="G705" s="5">
        <f t="shared" si="10"/>
        <v>1.02</v>
      </c>
      <c r="H705" s="6">
        <v>2815.0439000000001</v>
      </c>
      <c r="I705" s="7">
        <v>3500.31005859375</v>
      </c>
      <c r="J705" s="7">
        <v>10.231104676823101</v>
      </c>
      <c r="K705" s="7">
        <v>0</v>
      </c>
    </row>
    <row r="706" spans="1:11" x14ac:dyDescent="0.3">
      <c r="A706" s="4">
        <v>44075</v>
      </c>
      <c r="B706" s="5">
        <v>0.09</v>
      </c>
      <c r="C706" s="11">
        <v>259.99700000000001</v>
      </c>
      <c r="D706" s="6">
        <v>95.966899999999995</v>
      </c>
      <c r="E706" s="5">
        <v>3.36</v>
      </c>
      <c r="F706" s="5">
        <v>2.31</v>
      </c>
      <c r="G706" s="5">
        <f t="shared" si="10"/>
        <v>1.0499999999999998</v>
      </c>
      <c r="H706" s="6">
        <v>2759.9920000000002</v>
      </c>
      <c r="I706" s="7">
        <v>3363</v>
      </c>
      <c r="J706" s="7">
        <v>31.4145166972007</v>
      </c>
      <c r="K706" s="7">
        <v>1</v>
      </c>
    </row>
    <row r="707" spans="1:11" x14ac:dyDescent="0.3">
      <c r="A707" s="4">
        <v>44105</v>
      </c>
      <c r="B707" s="5">
        <v>0.09</v>
      </c>
      <c r="C707" s="11">
        <v>260.31900000000002</v>
      </c>
      <c r="D707" s="6">
        <v>96.739400000000003</v>
      </c>
      <c r="E707" s="5">
        <v>3.44</v>
      </c>
      <c r="F707" s="5">
        <v>2.35</v>
      </c>
      <c r="G707" s="5">
        <f t="shared" ref="G707:G770" si="11">E707-F707</f>
        <v>1.0899999999999999</v>
      </c>
      <c r="H707" s="6">
        <v>2698.3276999999998</v>
      </c>
      <c r="I707" s="7">
        <v>3269.9599609375</v>
      </c>
      <c r="J707" s="7">
        <v>26.533781870456998</v>
      </c>
      <c r="K707" s="7">
        <v>1</v>
      </c>
    </row>
    <row r="708" spans="1:11" x14ac:dyDescent="0.3">
      <c r="A708" s="4">
        <v>44136</v>
      </c>
      <c r="B708" s="5">
        <v>0.09</v>
      </c>
      <c r="C708" s="11">
        <v>260.911</v>
      </c>
      <c r="D708" s="6">
        <v>97.081599999999995</v>
      </c>
      <c r="E708" s="5">
        <v>3.3</v>
      </c>
      <c r="F708" s="5">
        <v>2.2999999999999998</v>
      </c>
      <c r="G708" s="5">
        <f t="shared" si="11"/>
        <v>1</v>
      </c>
      <c r="H708" s="6">
        <v>2637.2822000000001</v>
      </c>
      <c r="I708" s="7">
        <v>3621.6298828125</v>
      </c>
      <c r="J708" s="7">
        <v>20.274177350422899</v>
      </c>
      <c r="K708" s="7">
        <v>0</v>
      </c>
    </row>
    <row r="709" spans="1:11" x14ac:dyDescent="0.3">
      <c r="A709" s="4">
        <v>44166</v>
      </c>
      <c r="B709" s="5">
        <v>0.09</v>
      </c>
      <c r="C709" s="11">
        <v>262.04500000000002</v>
      </c>
      <c r="D709" s="6">
        <v>98.363</v>
      </c>
      <c r="E709" s="5">
        <v>3.16</v>
      </c>
      <c r="F709" s="5">
        <v>2.2599999999999998</v>
      </c>
      <c r="G709" s="5">
        <f t="shared" si="11"/>
        <v>0.90000000000000036</v>
      </c>
      <c r="H709" s="6">
        <v>2590.6251000000002</v>
      </c>
      <c r="I709" s="7">
        <v>3756.07006835937</v>
      </c>
      <c r="J709" s="7">
        <v>10.8472135060989</v>
      </c>
      <c r="K709" s="7">
        <v>0</v>
      </c>
    </row>
    <row r="710" spans="1:11" x14ac:dyDescent="0.3">
      <c r="A710" s="4">
        <v>44197</v>
      </c>
      <c r="B710" s="5">
        <v>0.09</v>
      </c>
      <c r="C710" s="11">
        <v>262.68700000000001</v>
      </c>
      <c r="D710" s="6">
        <v>98.882199999999997</v>
      </c>
      <c r="E710" s="5">
        <v>3.24</v>
      </c>
      <c r="F710" s="5">
        <v>2.4500000000000002</v>
      </c>
      <c r="G710" s="5">
        <f t="shared" si="11"/>
        <v>0.79</v>
      </c>
      <c r="H710" s="6">
        <v>2561.3870000000002</v>
      </c>
      <c r="I710" s="7">
        <v>3714.23999023437</v>
      </c>
      <c r="J710" s="7">
        <v>21.6402825473189</v>
      </c>
      <c r="K710" s="7">
        <v>1</v>
      </c>
    </row>
    <row r="711" spans="1:11" x14ac:dyDescent="0.3">
      <c r="A711" s="4">
        <v>44228</v>
      </c>
      <c r="B711" s="5">
        <v>0.08</v>
      </c>
      <c r="C711" s="11">
        <v>263.57900000000001</v>
      </c>
      <c r="D711" s="6">
        <v>95.614900000000006</v>
      </c>
      <c r="E711" s="5">
        <v>3.42</v>
      </c>
      <c r="F711" s="5">
        <v>2.7</v>
      </c>
      <c r="G711" s="5">
        <f t="shared" si="11"/>
        <v>0.71999999999999975</v>
      </c>
      <c r="H711" s="6">
        <v>2586.5954000000002</v>
      </c>
      <c r="I711" s="7">
        <v>3811.14990234375</v>
      </c>
      <c r="J711" s="7">
        <v>18.1545432214523</v>
      </c>
      <c r="K711" s="7">
        <v>0</v>
      </c>
    </row>
    <row r="712" spans="1:11" x14ac:dyDescent="0.3">
      <c r="A712" s="4">
        <v>44256</v>
      </c>
      <c r="B712" s="5">
        <v>7.0000000000000007E-2</v>
      </c>
      <c r="C712" s="11">
        <v>264.96100000000001</v>
      </c>
      <c r="D712" s="6">
        <v>98.385599999999997</v>
      </c>
      <c r="E712" s="5">
        <v>3.74</v>
      </c>
      <c r="F712" s="5">
        <v>3.04</v>
      </c>
      <c r="G712" s="5">
        <f t="shared" si="11"/>
        <v>0.70000000000000018</v>
      </c>
      <c r="H712" s="6">
        <v>2586.7795000000001</v>
      </c>
      <c r="I712" s="7">
        <v>3972.88989257812</v>
      </c>
      <c r="J712" s="7">
        <v>20.869353249936498</v>
      </c>
      <c r="K712" s="7">
        <v>1</v>
      </c>
    </row>
    <row r="713" spans="1:11" x14ac:dyDescent="0.3">
      <c r="A713" s="4">
        <v>44287</v>
      </c>
      <c r="B713" s="5">
        <v>7.0000000000000007E-2</v>
      </c>
      <c r="C713" s="11">
        <v>266.61399999999998</v>
      </c>
      <c r="D713" s="6">
        <v>98.558700000000002</v>
      </c>
      <c r="E713" s="5">
        <v>3.6</v>
      </c>
      <c r="F713" s="5">
        <v>2.9</v>
      </c>
      <c r="G713" s="5">
        <f t="shared" si="11"/>
        <v>0.70000000000000018</v>
      </c>
      <c r="H713" s="6">
        <v>2556.3543</v>
      </c>
      <c r="I713" s="7">
        <v>4181.169921875</v>
      </c>
      <c r="J713" s="7">
        <v>13.672517636874399</v>
      </c>
      <c r="K713" s="7">
        <v>0</v>
      </c>
    </row>
    <row r="714" spans="1:11" x14ac:dyDescent="0.3">
      <c r="A714" s="4">
        <v>44317</v>
      </c>
      <c r="B714" s="5">
        <v>0.06</v>
      </c>
      <c r="C714" s="11">
        <v>268.38299999999998</v>
      </c>
      <c r="D714" s="6">
        <v>99.433300000000003</v>
      </c>
      <c r="E714" s="5">
        <v>3.62</v>
      </c>
      <c r="F714" s="5">
        <v>2.96</v>
      </c>
      <c r="G714" s="5">
        <f t="shared" si="11"/>
        <v>0.66000000000000014</v>
      </c>
      <c r="H714" s="6">
        <v>2545.6237999999998</v>
      </c>
      <c r="I714" s="7">
        <v>4204.10986328125</v>
      </c>
      <c r="J714" s="7">
        <v>17.835614515575799</v>
      </c>
      <c r="K714" s="7">
        <v>0</v>
      </c>
    </row>
    <row r="715" spans="1:11" x14ac:dyDescent="0.3">
      <c r="A715" s="4">
        <v>44348</v>
      </c>
      <c r="B715" s="5">
        <v>0.08</v>
      </c>
      <c r="C715" s="11">
        <v>270.654</v>
      </c>
      <c r="D715" s="6">
        <v>99.798699999999997</v>
      </c>
      <c r="E715" s="5">
        <v>3.44</v>
      </c>
      <c r="F715" s="5">
        <v>2.79</v>
      </c>
      <c r="G715" s="5">
        <f t="shared" si="11"/>
        <v>0.64999999999999991</v>
      </c>
      <c r="H715" s="6">
        <v>2478.0378999999998</v>
      </c>
      <c r="I715" s="7">
        <v>4297.5</v>
      </c>
      <c r="J715" s="7">
        <v>10.5872204109557</v>
      </c>
      <c r="K715" s="7">
        <v>0</v>
      </c>
    </row>
    <row r="716" spans="1:11" x14ac:dyDescent="0.3">
      <c r="A716" s="4">
        <v>44378</v>
      </c>
      <c r="B716" s="5">
        <v>0.1</v>
      </c>
      <c r="C716" s="11">
        <v>271.90300000000002</v>
      </c>
      <c r="D716" s="6">
        <v>100.25190000000001</v>
      </c>
      <c r="E716" s="5">
        <v>3.24</v>
      </c>
      <c r="F716" s="5">
        <v>2.57</v>
      </c>
      <c r="G716" s="5">
        <f t="shared" si="11"/>
        <v>0.67000000000000037</v>
      </c>
      <c r="H716" s="6">
        <v>2450.3579</v>
      </c>
      <c r="I716" s="7">
        <v>4395.259765625</v>
      </c>
      <c r="J716" s="7">
        <v>14.8760612061586</v>
      </c>
      <c r="K716" s="7">
        <v>0</v>
      </c>
    </row>
    <row r="717" spans="1:11" x14ac:dyDescent="0.3">
      <c r="A717" s="4">
        <v>44409</v>
      </c>
      <c r="B717" s="5">
        <v>0.09</v>
      </c>
      <c r="C717" s="11">
        <v>272.67599999999999</v>
      </c>
      <c r="D717" s="6">
        <v>100.0437</v>
      </c>
      <c r="E717" s="5">
        <v>3.24</v>
      </c>
      <c r="F717" s="5">
        <v>2.5499999999999998</v>
      </c>
      <c r="G717" s="5">
        <f t="shared" si="11"/>
        <v>0.69000000000000039</v>
      </c>
      <c r="H717" s="6">
        <v>2428.3733999999999</v>
      </c>
      <c r="I717" s="7">
        <v>4522.68017578125</v>
      </c>
      <c r="J717" s="7">
        <v>10.4417282466383</v>
      </c>
      <c r="K717" s="7">
        <v>0</v>
      </c>
    </row>
    <row r="718" spans="1:11" x14ac:dyDescent="0.3">
      <c r="A718" s="4">
        <v>44440</v>
      </c>
      <c r="B718" s="5">
        <v>0.08</v>
      </c>
      <c r="C718" s="11">
        <v>273.91000000000003</v>
      </c>
      <c r="D718" s="6">
        <v>98.857900000000001</v>
      </c>
      <c r="E718" s="5">
        <v>3.23</v>
      </c>
      <c r="F718" s="5">
        <v>2.5299999999999998</v>
      </c>
      <c r="G718" s="5">
        <f t="shared" si="11"/>
        <v>0.70000000000000018</v>
      </c>
      <c r="H718" s="6">
        <v>2416.6678000000002</v>
      </c>
      <c r="I718" s="7">
        <v>4307.5400390625</v>
      </c>
      <c r="J718" s="7">
        <v>16.1475499334056</v>
      </c>
      <c r="K718" s="7">
        <v>0</v>
      </c>
    </row>
    <row r="719" spans="1:11" x14ac:dyDescent="0.3">
      <c r="A719" s="4">
        <v>44470</v>
      </c>
      <c r="B719" s="5">
        <v>0.08</v>
      </c>
      <c r="C719" s="11">
        <v>276.55</v>
      </c>
      <c r="D719" s="6">
        <v>100.1861</v>
      </c>
      <c r="E719" s="5">
        <v>3.35</v>
      </c>
      <c r="F719" s="5">
        <v>2.68</v>
      </c>
      <c r="G719" s="5">
        <f t="shared" si="11"/>
        <v>0.66999999999999993</v>
      </c>
      <c r="H719" s="6">
        <v>2420.7404999999999</v>
      </c>
      <c r="I719" s="7">
        <v>4605.3798828125</v>
      </c>
      <c r="J719" s="7">
        <v>13.6952247935644</v>
      </c>
      <c r="K719" s="7">
        <v>0</v>
      </c>
    </row>
    <row r="720" spans="1:11" x14ac:dyDescent="0.3">
      <c r="A720" s="4">
        <v>44501</v>
      </c>
      <c r="B720" s="5">
        <v>0.08</v>
      </c>
      <c r="C720" s="11">
        <v>278.91899999999998</v>
      </c>
      <c r="D720" s="6">
        <v>100.86539999999999</v>
      </c>
      <c r="E720" s="5">
        <v>3.28</v>
      </c>
      <c r="F720" s="5">
        <v>2.62</v>
      </c>
      <c r="G720" s="5">
        <f t="shared" si="11"/>
        <v>0.6599999999999997</v>
      </c>
      <c r="H720" s="6">
        <v>2434.9920000000002</v>
      </c>
      <c r="I720" s="7">
        <v>4567</v>
      </c>
      <c r="J720" s="7">
        <v>16.430667188777001</v>
      </c>
      <c r="K720" s="7">
        <v>0</v>
      </c>
    </row>
    <row r="721" spans="1:11" x14ac:dyDescent="0.3">
      <c r="A721" s="4">
        <v>44531</v>
      </c>
      <c r="B721" s="5">
        <v>0.08</v>
      </c>
      <c r="C721" s="11">
        <v>280.84500000000003</v>
      </c>
      <c r="D721" s="6">
        <v>100.57259999999999</v>
      </c>
      <c r="E721" s="5">
        <v>3.3</v>
      </c>
      <c r="F721" s="5">
        <v>2.65</v>
      </c>
      <c r="G721" s="5">
        <f t="shared" si="11"/>
        <v>0.64999999999999991</v>
      </c>
      <c r="H721" s="6">
        <v>2473.1761999999999</v>
      </c>
      <c r="I721" s="7">
        <v>4766.18017578125</v>
      </c>
      <c r="J721" s="7">
        <v>21.528413846827299</v>
      </c>
      <c r="K721" s="7">
        <v>1</v>
      </c>
    </row>
    <row r="722" spans="1:11" x14ac:dyDescent="0.3">
      <c r="A722" s="4">
        <v>44562</v>
      </c>
      <c r="B722" s="5">
        <v>0.08</v>
      </c>
      <c r="C722" s="11">
        <v>282.54300000000001</v>
      </c>
      <c r="D722" s="6">
        <v>100.18559999999999</v>
      </c>
      <c r="E722" s="5">
        <v>3.58</v>
      </c>
      <c r="F722" s="5">
        <v>2.93</v>
      </c>
      <c r="G722" s="5">
        <f t="shared" si="11"/>
        <v>0.64999999999999991</v>
      </c>
      <c r="H722" s="6">
        <v>2486.9776999999999</v>
      </c>
      <c r="I722" s="7">
        <v>4515.5498046875</v>
      </c>
      <c r="J722" s="7">
        <v>23.665320490627199</v>
      </c>
      <c r="K722" s="7">
        <v>1</v>
      </c>
    </row>
    <row r="723" spans="1:11" x14ac:dyDescent="0.3">
      <c r="A723" s="4">
        <v>44593</v>
      </c>
      <c r="B723" s="5">
        <v>0.08</v>
      </c>
      <c r="C723" s="11">
        <v>284.5</v>
      </c>
      <c r="D723" s="6">
        <v>100.8064</v>
      </c>
      <c r="E723" s="5">
        <v>3.97</v>
      </c>
      <c r="F723" s="5">
        <v>3.25</v>
      </c>
      <c r="G723" s="5">
        <f t="shared" si="11"/>
        <v>0.7200000000000002</v>
      </c>
      <c r="H723" s="6">
        <v>2499.0140999999999</v>
      </c>
      <c r="I723" s="7">
        <v>4373.93994140625</v>
      </c>
      <c r="J723" s="7">
        <v>28.568972992899202</v>
      </c>
      <c r="K723" s="7">
        <v>1</v>
      </c>
    </row>
    <row r="724" spans="1:11" x14ac:dyDescent="0.3">
      <c r="A724" s="4">
        <v>44621</v>
      </c>
      <c r="B724" s="5">
        <v>0.2</v>
      </c>
      <c r="C724" s="11">
        <v>287.67399999999998</v>
      </c>
      <c r="D724" s="6">
        <v>101.3907</v>
      </c>
      <c r="E724" s="5">
        <v>4.29</v>
      </c>
      <c r="F724" s="5">
        <v>3.43</v>
      </c>
      <c r="G724" s="5">
        <f t="shared" si="11"/>
        <v>0.85999999999999988</v>
      </c>
      <c r="H724" s="6">
        <v>2538.9137000000001</v>
      </c>
      <c r="I724" s="7">
        <v>4530.41015625</v>
      </c>
      <c r="J724" s="7">
        <v>29.278500971142002</v>
      </c>
      <c r="K724" s="7">
        <v>1</v>
      </c>
    </row>
    <row r="725" spans="1:11" x14ac:dyDescent="0.3">
      <c r="A725" s="4">
        <v>44652</v>
      </c>
      <c r="B725" s="5">
        <v>0.33</v>
      </c>
      <c r="C725" s="11">
        <v>288.56099999999998</v>
      </c>
      <c r="D725" s="6">
        <v>101.44</v>
      </c>
      <c r="E725" s="5">
        <v>4.66</v>
      </c>
      <c r="F725" s="5">
        <v>3.76</v>
      </c>
      <c r="G725" s="5">
        <f t="shared" si="11"/>
        <v>0.90000000000000036</v>
      </c>
      <c r="H725" s="6">
        <v>2565.6296000000002</v>
      </c>
      <c r="I725" s="7">
        <v>4131.93017578125</v>
      </c>
      <c r="J725" s="7">
        <v>31.1986677997055</v>
      </c>
      <c r="K725" s="7">
        <v>1</v>
      </c>
    </row>
    <row r="726" spans="1:11" x14ac:dyDescent="0.3">
      <c r="A726" s="4">
        <v>44682</v>
      </c>
      <c r="B726" s="5">
        <v>0.77</v>
      </c>
      <c r="C726" s="11">
        <v>291.298</v>
      </c>
      <c r="D726" s="6">
        <v>101.3335</v>
      </c>
      <c r="E726" s="5">
        <v>5.12</v>
      </c>
      <c r="F726" s="5">
        <v>4.13</v>
      </c>
      <c r="G726" s="5">
        <f t="shared" si="11"/>
        <v>0.99000000000000021</v>
      </c>
      <c r="H726" s="6">
        <v>2610.2451999999998</v>
      </c>
      <c r="I726" s="7">
        <v>4132.14990234375</v>
      </c>
      <c r="J726" s="7">
        <v>39.741656731506303</v>
      </c>
      <c r="K726" s="7">
        <v>1</v>
      </c>
    </row>
    <row r="727" spans="1:11" x14ac:dyDescent="0.3">
      <c r="A727" s="4">
        <v>44713</v>
      </c>
      <c r="B727" s="5">
        <v>1.21</v>
      </c>
      <c r="C727" s="11">
        <v>294.95699999999999</v>
      </c>
      <c r="D727" s="6">
        <v>101.018</v>
      </c>
      <c r="E727" s="5">
        <v>5.27</v>
      </c>
      <c r="F727" s="5">
        <v>4.24</v>
      </c>
      <c r="G727" s="5">
        <f t="shared" si="11"/>
        <v>1.0299999999999994</v>
      </c>
      <c r="H727" s="6">
        <v>2667.8800999999999</v>
      </c>
      <c r="I727" s="7">
        <v>3785.3798828125</v>
      </c>
      <c r="J727" s="7">
        <v>37.382112053308802</v>
      </c>
      <c r="K727" s="7">
        <v>1</v>
      </c>
    </row>
    <row r="728" spans="1:11" x14ac:dyDescent="0.3">
      <c r="A728" s="4">
        <v>44743</v>
      </c>
      <c r="B728" s="5">
        <v>1.68</v>
      </c>
      <c r="C728" s="11">
        <v>294.91300000000001</v>
      </c>
      <c r="D728" s="6">
        <v>101.223</v>
      </c>
      <c r="E728" s="5">
        <v>5.21</v>
      </c>
      <c r="F728" s="5">
        <v>4.0599999999999996</v>
      </c>
      <c r="G728" s="5">
        <f t="shared" si="11"/>
        <v>1.1500000000000004</v>
      </c>
      <c r="H728" s="6">
        <v>2699.2413000000001</v>
      </c>
      <c r="I728" s="7">
        <v>4130.2900390625</v>
      </c>
      <c r="J728" s="7">
        <v>24.1858870274304</v>
      </c>
      <c r="K728" s="7">
        <v>1</v>
      </c>
    </row>
    <row r="729" spans="1:11" x14ac:dyDescent="0.3">
      <c r="A729" s="4">
        <v>44774</v>
      </c>
      <c r="B729" s="5">
        <v>2.33</v>
      </c>
      <c r="C729" s="11">
        <v>295.09699999999998</v>
      </c>
      <c r="D729" s="6">
        <v>101.0963</v>
      </c>
      <c r="E729" s="5">
        <v>5.15</v>
      </c>
      <c r="F729" s="5">
        <v>4.07</v>
      </c>
      <c r="G729" s="5">
        <f t="shared" si="11"/>
        <v>1.08</v>
      </c>
      <c r="H729" s="6">
        <v>2724.0967999999998</v>
      </c>
      <c r="I729" s="7">
        <v>3955</v>
      </c>
      <c r="J729" s="7">
        <v>24.5891616614642</v>
      </c>
      <c r="K729" s="7">
        <v>1</v>
      </c>
    </row>
    <row r="730" spans="1:11" x14ac:dyDescent="0.3">
      <c r="A730" s="4">
        <v>44805</v>
      </c>
      <c r="B730" s="5">
        <v>2.56</v>
      </c>
      <c r="C730" s="11">
        <v>296.34899999999999</v>
      </c>
      <c r="D730" s="6">
        <v>101.29179999999999</v>
      </c>
      <c r="E730" s="5">
        <v>5.69</v>
      </c>
      <c r="F730" s="5">
        <v>4.59</v>
      </c>
      <c r="G730" s="5">
        <f t="shared" si="11"/>
        <v>1.1000000000000005</v>
      </c>
      <c r="H730" s="6">
        <v>2747.7509</v>
      </c>
      <c r="I730" s="7">
        <v>3585.6201171875</v>
      </c>
      <c r="J730" s="7">
        <v>30.349443939275801</v>
      </c>
      <c r="K730" s="7">
        <v>1</v>
      </c>
    </row>
    <row r="731" spans="1:11" x14ac:dyDescent="0.3">
      <c r="A731" s="4">
        <v>44835</v>
      </c>
      <c r="B731" s="5">
        <v>3.08</v>
      </c>
      <c r="C731" s="11">
        <v>298.00700000000001</v>
      </c>
      <c r="D731" s="6">
        <v>101.2529</v>
      </c>
      <c r="E731" s="5">
        <v>6.26</v>
      </c>
      <c r="F731" s="5">
        <v>5.0999999999999996</v>
      </c>
      <c r="G731" s="5">
        <f t="shared" si="11"/>
        <v>1.1600000000000001</v>
      </c>
      <c r="H731" s="6">
        <v>2771.3899000000001</v>
      </c>
      <c r="I731" s="7">
        <v>3871.97998046875</v>
      </c>
      <c r="J731" s="7">
        <v>35.196728344959404</v>
      </c>
      <c r="K731" s="7">
        <v>1</v>
      </c>
    </row>
    <row r="732" spans="1:11" x14ac:dyDescent="0.3">
      <c r="A732" s="4">
        <v>44866</v>
      </c>
      <c r="B732" s="5">
        <v>3.78</v>
      </c>
      <c r="C732" s="11">
        <v>298.786</v>
      </c>
      <c r="D732" s="6">
        <v>100.9552</v>
      </c>
      <c r="E732" s="5">
        <v>6.07</v>
      </c>
      <c r="F732" s="5">
        <v>4.9000000000000004</v>
      </c>
      <c r="G732" s="5">
        <f t="shared" si="11"/>
        <v>1.17</v>
      </c>
      <c r="H732" s="6">
        <v>2789.4295999999999</v>
      </c>
      <c r="I732" s="7">
        <v>4080.11010742187</v>
      </c>
      <c r="J732" s="7">
        <v>34.902002458053097</v>
      </c>
      <c r="K732" s="7">
        <v>1</v>
      </c>
    </row>
    <row r="733" spans="1:11" x14ac:dyDescent="0.3">
      <c r="A733" s="4">
        <v>44896</v>
      </c>
      <c r="B733" s="5">
        <v>4.0999999999999996</v>
      </c>
      <c r="C733" s="11">
        <v>298.83199999999999</v>
      </c>
      <c r="D733" s="6">
        <v>99.766400000000004</v>
      </c>
      <c r="E733" s="5">
        <v>5.59</v>
      </c>
      <c r="F733" s="5">
        <v>4.43</v>
      </c>
      <c r="G733" s="5">
        <f t="shared" si="11"/>
        <v>1.1600000000000001</v>
      </c>
      <c r="H733" s="6">
        <v>2798.0126</v>
      </c>
      <c r="I733" s="7">
        <v>3839.5</v>
      </c>
      <c r="J733" s="7">
        <v>22.6482345785106</v>
      </c>
      <c r="K733" s="7">
        <v>1</v>
      </c>
    </row>
    <row r="734" spans="1:11" x14ac:dyDescent="0.3">
      <c r="A734" s="4">
        <v>44927</v>
      </c>
      <c r="B734" s="5">
        <v>4.33</v>
      </c>
      <c r="C734" s="11">
        <v>300.42</v>
      </c>
      <c r="D734" s="6">
        <v>100.505</v>
      </c>
      <c r="E734" s="5">
        <v>5.5</v>
      </c>
      <c r="F734" s="5">
        <v>4.4000000000000004</v>
      </c>
      <c r="G734" s="5">
        <f t="shared" si="11"/>
        <v>1.0999999999999996</v>
      </c>
      <c r="H734" s="6">
        <v>2811.8454999999999</v>
      </c>
      <c r="I734" s="7">
        <v>4076.60009765625</v>
      </c>
      <c r="J734" s="7">
        <v>21.043743250235</v>
      </c>
      <c r="K734" s="7">
        <v>1</v>
      </c>
    </row>
    <row r="735" spans="1:11" x14ac:dyDescent="0.3">
      <c r="A735" s="4">
        <v>44958</v>
      </c>
      <c r="B735" s="5">
        <v>4.57</v>
      </c>
      <c r="C735" s="11">
        <v>301.45</v>
      </c>
      <c r="D735" s="6">
        <v>100.6416</v>
      </c>
      <c r="E735" s="5">
        <v>5.59</v>
      </c>
      <c r="F735" s="5">
        <v>4.5599999999999996</v>
      </c>
      <c r="G735" s="5">
        <f t="shared" si="11"/>
        <v>1.0300000000000002</v>
      </c>
      <c r="H735" s="6">
        <v>2806.7125999999998</v>
      </c>
      <c r="I735" s="7">
        <v>3970.14990234375</v>
      </c>
      <c r="J735" s="7">
        <v>19.572705404242502</v>
      </c>
      <c r="K735" s="7">
        <v>0</v>
      </c>
    </row>
    <row r="736" spans="1:11" x14ac:dyDescent="0.3">
      <c r="A736" s="4">
        <v>44986</v>
      </c>
      <c r="B736" s="5">
        <v>4.6500000000000004</v>
      </c>
      <c r="C736" s="11">
        <v>301.82100000000003</v>
      </c>
      <c r="D736" s="6">
        <v>101.0205</v>
      </c>
      <c r="E736" s="5">
        <v>5.71</v>
      </c>
      <c r="F736" s="5">
        <v>4.5999999999999996</v>
      </c>
      <c r="G736" s="5">
        <f t="shared" si="11"/>
        <v>1.1100000000000003</v>
      </c>
      <c r="H736" s="6">
        <v>2797.7692999999999</v>
      </c>
      <c r="I736" s="7">
        <v>4109.31005859375</v>
      </c>
      <c r="J736" s="7">
        <v>22.784973333086199</v>
      </c>
      <c r="K736" s="7">
        <v>1</v>
      </c>
    </row>
    <row r="737" spans="1:11" x14ac:dyDescent="0.3">
      <c r="A737" s="4">
        <v>45017</v>
      </c>
      <c r="B737" s="5">
        <v>4.83</v>
      </c>
      <c r="C737" s="11">
        <v>302.84500000000003</v>
      </c>
      <c r="D737" s="6">
        <v>101.253</v>
      </c>
      <c r="E737" s="5">
        <v>5.53</v>
      </c>
      <c r="F737" s="5">
        <v>4.47</v>
      </c>
      <c r="G737" s="5">
        <f t="shared" si="11"/>
        <v>1.0600000000000005</v>
      </c>
      <c r="H737" s="6">
        <v>2771.1747</v>
      </c>
      <c r="I737" s="7">
        <v>4169.47998046875</v>
      </c>
      <c r="J737" s="7">
        <v>15.0529398746792</v>
      </c>
      <c r="K737" s="7">
        <v>0</v>
      </c>
    </row>
    <row r="738" spans="1:11" x14ac:dyDescent="0.3">
      <c r="A738" s="4">
        <v>45047</v>
      </c>
      <c r="B738" s="5">
        <v>5.0599999999999996</v>
      </c>
      <c r="C738" s="11">
        <v>303.334</v>
      </c>
      <c r="D738" s="6">
        <v>100.9286</v>
      </c>
      <c r="E738" s="5">
        <v>5.77</v>
      </c>
      <c r="F738" s="5">
        <v>4.67</v>
      </c>
      <c r="G738" s="5">
        <f t="shared" si="11"/>
        <v>1.0999999999999996</v>
      </c>
      <c r="H738" s="6">
        <v>2766.5382</v>
      </c>
      <c r="I738" s="7">
        <v>4179.830078125</v>
      </c>
      <c r="J738" s="7">
        <v>16.168455996043701</v>
      </c>
      <c r="K738" s="7">
        <v>0</v>
      </c>
    </row>
    <row r="739" spans="1:11" x14ac:dyDescent="0.3">
      <c r="A739" s="4">
        <v>45078</v>
      </c>
      <c r="B739" s="5">
        <v>5.08</v>
      </c>
      <c r="C739" s="11">
        <v>304.01400000000001</v>
      </c>
      <c r="D739" s="6">
        <v>100.11960000000001</v>
      </c>
      <c r="E739" s="5">
        <v>5.75</v>
      </c>
      <c r="F739" s="5">
        <v>4.6500000000000004</v>
      </c>
      <c r="G739" s="5">
        <f t="shared" si="11"/>
        <v>1.0999999999999996</v>
      </c>
      <c r="H739" s="6">
        <v>2756.0047</v>
      </c>
      <c r="I739" s="7">
        <v>4450.3798828125</v>
      </c>
      <c r="J739" s="7">
        <v>13.592533320698999</v>
      </c>
      <c r="K739" s="7">
        <v>0</v>
      </c>
    </row>
    <row r="740" spans="1:11" x14ac:dyDescent="0.3">
      <c r="A740" s="4">
        <v>45108</v>
      </c>
      <c r="B740" s="5">
        <v>5.12</v>
      </c>
      <c r="C740" s="11">
        <v>304.60899999999998</v>
      </c>
      <c r="D740" s="6">
        <v>100.9067</v>
      </c>
      <c r="E740" s="5">
        <v>5.74</v>
      </c>
      <c r="F740" s="5">
        <v>4.66</v>
      </c>
      <c r="G740" s="5">
        <f t="shared" si="11"/>
        <v>1.08</v>
      </c>
      <c r="H740" s="6">
        <v>2754.9441000000002</v>
      </c>
      <c r="I740" s="7">
        <v>4588.9599609375</v>
      </c>
      <c r="J740" s="7">
        <v>10.1798210950334</v>
      </c>
      <c r="K740" s="7">
        <v>0</v>
      </c>
    </row>
    <row r="741" spans="1:11" x14ac:dyDescent="0.3">
      <c r="A741" s="4">
        <v>45139</v>
      </c>
      <c r="B741" s="5">
        <v>5.33</v>
      </c>
      <c r="C741" s="11">
        <v>306.08199999999999</v>
      </c>
      <c r="D741" s="6">
        <v>100.83929999999999</v>
      </c>
      <c r="E741" s="5">
        <v>6.02</v>
      </c>
      <c r="F741" s="5">
        <v>4.95</v>
      </c>
      <c r="G741" s="5">
        <f t="shared" si="11"/>
        <v>1.0699999999999994</v>
      </c>
      <c r="H741" s="6">
        <v>2757.8897999999999</v>
      </c>
      <c r="I741" s="7">
        <v>4507.66015625</v>
      </c>
      <c r="J741" s="7">
        <v>15.578075015458101</v>
      </c>
      <c r="K741" s="7">
        <v>0</v>
      </c>
    </row>
    <row r="742" spans="1:11" x14ac:dyDescent="0.3">
      <c r="A742" s="4">
        <v>45170</v>
      </c>
      <c r="B742" s="5">
        <v>5.33</v>
      </c>
      <c r="C742" s="11">
        <v>307.27600000000001</v>
      </c>
      <c r="D742" s="6">
        <v>101.0211</v>
      </c>
      <c r="E742" s="5">
        <v>6.16</v>
      </c>
      <c r="F742" s="5">
        <v>5.13</v>
      </c>
      <c r="G742" s="5">
        <f t="shared" si="11"/>
        <v>1.0300000000000002</v>
      </c>
      <c r="H742" s="6">
        <v>2760.7656999999999</v>
      </c>
      <c r="I742" s="7">
        <v>4288.0498046875</v>
      </c>
      <c r="J742" s="7">
        <v>13.879080798175099</v>
      </c>
      <c r="K742" s="7">
        <v>0</v>
      </c>
    </row>
    <row r="743" spans="1:11" x14ac:dyDescent="0.3">
      <c r="A743" s="4">
        <v>45200</v>
      </c>
      <c r="B743" s="5">
        <v>5.33</v>
      </c>
      <c r="C743" s="11">
        <v>307.69600000000003</v>
      </c>
      <c r="D743" s="6">
        <v>100.4689</v>
      </c>
      <c r="E743" s="5">
        <v>6.63</v>
      </c>
      <c r="F743" s="5">
        <v>5.61</v>
      </c>
      <c r="G743" s="5">
        <f t="shared" si="11"/>
        <v>1.0199999999999996</v>
      </c>
      <c r="H743" s="6">
        <v>2771.2849000000001</v>
      </c>
      <c r="I743" s="7">
        <v>4193.7998046875</v>
      </c>
      <c r="J743" s="7">
        <v>17.8613316894943</v>
      </c>
      <c r="K743" s="7">
        <v>0</v>
      </c>
    </row>
    <row r="744" spans="1:11" x14ac:dyDescent="0.3">
      <c r="A744" s="4">
        <v>45231</v>
      </c>
      <c r="B744" s="5">
        <v>5.33</v>
      </c>
      <c r="C744" s="11">
        <v>308.14800000000002</v>
      </c>
      <c r="D744" s="6">
        <v>100.8639</v>
      </c>
      <c r="E744" s="5">
        <v>6.29</v>
      </c>
      <c r="F744" s="5">
        <v>5.28</v>
      </c>
      <c r="G744" s="5">
        <f t="shared" si="11"/>
        <v>1.0099999999999998</v>
      </c>
      <c r="H744" s="6">
        <v>2762.7932000000001</v>
      </c>
      <c r="I744" s="7">
        <v>4567.7998046875</v>
      </c>
      <c r="J744" s="7">
        <v>14.0148055548163</v>
      </c>
      <c r="K744" s="7">
        <v>0</v>
      </c>
    </row>
    <row r="745" spans="1:11" x14ac:dyDescent="0.3">
      <c r="A745" s="4">
        <v>45261</v>
      </c>
      <c r="B745" s="5">
        <v>5.33</v>
      </c>
      <c r="C745" s="11">
        <v>308.74099999999999</v>
      </c>
      <c r="D745" s="6">
        <v>100.6031</v>
      </c>
      <c r="E745" s="5">
        <v>5.64</v>
      </c>
      <c r="F745" s="5">
        <v>4.74</v>
      </c>
      <c r="G745" s="5">
        <f t="shared" si="11"/>
        <v>0.89999999999999947</v>
      </c>
      <c r="H745" s="6">
        <v>2760.5765000000001</v>
      </c>
      <c r="I745" s="7">
        <v>4769.830078125</v>
      </c>
      <c r="J745" s="7">
        <v>12.201812356717101</v>
      </c>
      <c r="K745" s="7">
        <v>0</v>
      </c>
    </row>
    <row r="746" spans="1:11" x14ac:dyDescent="0.3">
      <c r="A746" s="4">
        <v>45292</v>
      </c>
      <c r="B746" s="5">
        <v>5.33</v>
      </c>
      <c r="C746" s="11">
        <v>309.69799999999998</v>
      </c>
      <c r="D746" s="6">
        <v>99.222300000000004</v>
      </c>
      <c r="E746" s="5">
        <v>5.68</v>
      </c>
      <c r="F746" s="5">
        <v>4.87</v>
      </c>
      <c r="G746" s="5">
        <f t="shared" si="11"/>
        <v>0.80999999999999961</v>
      </c>
      <c r="H746" s="6">
        <v>2758.8422</v>
      </c>
      <c r="I746" s="7">
        <v>4845.64990234375</v>
      </c>
      <c r="J746" s="7">
        <v>13.957770255608301</v>
      </c>
      <c r="K746" s="7">
        <v>0</v>
      </c>
    </row>
    <row r="747" spans="1:11" x14ac:dyDescent="0.3">
      <c r="A747" s="4">
        <v>45323</v>
      </c>
      <c r="B747" s="5">
        <v>5.33</v>
      </c>
      <c r="C747" s="11">
        <v>310.96699999999998</v>
      </c>
      <c r="D747" s="6">
        <v>100.285</v>
      </c>
      <c r="E747" s="5">
        <v>5.77</v>
      </c>
      <c r="F747" s="5">
        <v>5.03</v>
      </c>
      <c r="G747" s="5">
        <f t="shared" si="11"/>
        <v>0.73999999999999932</v>
      </c>
      <c r="H747" s="6">
        <v>2766.1043</v>
      </c>
      <c r="I747" s="7">
        <v>5096.27001953125</v>
      </c>
      <c r="J747" s="7">
        <v>15.388556423588501</v>
      </c>
      <c r="K747" s="7">
        <v>0</v>
      </c>
    </row>
    <row r="748" spans="1:11" x14ac:dyDescent="0.3">
      <c r="A748" s="4">
        <v>45352</v>
      </c>
      <c r="B748" s="5">
        <v>5.33</v>
      </c>
      <c r="C748" s="11">
        <v>312.34500000000003</v>
      </c>
      <c r="D748" s="6">
        <v>100.4575</v>
      </c>
      <c r="E748" s="5">
        <v>5.75</v>
      </c>
      <c r="F748" s="5">
        <v>5.01</v>
      </c>
      <c r="G748" s="5">
        <f t="shared" si="11"/>
        <v>0.74000000000000021</v>
      </c>
      <c r="H748" s="6">
        <v>2751.3685</v>
      </c>
      <c r="I748" s="7">
        <v>5254.35009765625</v>
      </c>
      <c r="J748" s="7">
        <v>12.4606251027857</v>
      </c>
      <c r="K748" s="7">
        <v>0</v>
      </c>
    </row>
    <row r="749" spans="1:11" x14ac:dyDescent="0.3">
      <c r="A749" s="4">
        <v>45383</v>
      </c>
      <c r="B749" s="5">
        <v>5.33</v>
      </c>
      <c r="C749" s="11">
        <v>313.02300000000002</v>
      </c>
      <c r="D749" s="6">
        <v>100.24339999999999</v>
      </c>
      <c r="E749" s="5">
        <v>6</v>
      </c>
      <c r="F749" s="5">
        <v>5.28</v>
      </c>
      <c r="G749" s="5">
        <f t="shared" si="11"/>
        <v>0.71999999999999975</v>
      </c>
      <c r="H749" s="6">
        <v>2749.3006999999998</v>
      </c>
      <c r="I749" s="7">
        <v>5035.68994140625</v>
      </c>
      <c r="J749" s="7">
        <v>16.872240424868501</v>
      </c>
      <c r="K749" s="7">
        <v>0</v>
      </c>
    </row>
    <row r="750" spans="1:11" x14ac:dyDescent="0.3">
      <c r="A750" s="4">
        <v>45413</v>
      </c>
      <c r="B750" s="5">
        <v>5.33</v>
      </c>
      <c r="C750" s="11">
        <v>313.17500000000001</v>
      </c>
      <c r="D750" s="6">
        <v>100.863</v>
      </c>
      <c r="E750" s="5">
        <v>5.95</v>
      </c>
      <c r="F750" s="5">
        <v>5.25</v>
      </c>
      <c r="G750" s="5">
        <f t="shared" si="11"/>
        <v>0.70000000000000018</v>
      </c>
      <c r="H750" s="6">
        <v>2758.6487000000002</v>
      </c>
      <c r="I750" s="7">
        <v>5277.509765625</v>
      </c>
      <c r="J750" s="7">
        <v>11.7816028290299</v>
      </c>
      <c r="K750" s="7">
        <v>0</v>
      </c>
    </row>
    <row r="751" spans="1:11" x14ac:dyDescent="0.3">
      <c r="A751" s="4">
        <v>45444</v>
      </c>
      <c r="B751" s="5">
        <v>5.33</v>
      </c>
      <c r="C751" s="11">
        <v>313.04399999999998</v>
      </c>
      <c r="D751" s="6">
        <v>100.89400000000001</v>
      </c>
      <c r="E751" s="5">
        <v>5.82</v>
      </c>
      <c r="F751" s="5">
        <v>5.13</v>
      </c>
      <c r="G751" s="5">
        <f t="shared" si="11"/>
        <v>0.69000000000000039</v>
      </c>
      <c r="H751" s="6">
        <v>2765.4940000000001</v>
      </c>
      <c r="I751" s="7">
        <v>5460.47998046875</v>
      </c>
      <c r="J751" s="7">
        <v>8.0861934605131793</v>
      </c>
      <c r="K751" s="7">
        <v>0</v>
      </c>
    </row>
    <row r="752" spans="1:11" x14ac:dyDescent="0.3">
      <c r="A752" s="4">
        <v>45474</v>
      </c>
      <c r="B752" s="5">
        <v>5.33</v>
      </c>
      <c r="C752" s="11">
        <v>313.56900000000002</v>
      </c>
      <c r="D752" s="6">
        <v>99.975700000000003</v>
      </c>
      <c r="E752" s="5">
        <v>5.84</v>
      </c>
      <c r="F752" s="5">
        <v>5.12</v>
      </c>
      <c r="G752" s="5">
        <f t="shared" si="11"/>
        <v>0.71999999999999975</v>
      </c>
      <c r="H752" s="6">
        <v>2760.4083999999998</v>
      </c>
      <c r="I752" s="7">
        <v>5522.2998046875</v>
      </c>
      <c r="J752" s="7">
        <v>18.330472628660399</v>
      </c>
      <c r="K752" s="7">
        <v>0</v>
      </c>
    </row>
    <row r="753" spans="1:11" x14ac:dyDescent="0.3">
      <c r="A753" s="4">
        <v>45505</v>
      </c>
      <c r="B753" s="5">
        <v>5.33</v>
      </c>
      <c r="C753" s="11">
        <v>314.06200000000001</v>
      </c>
      <c r="D753" s="6">
        <v>100.43089999999999</v>
      </c>
      <c r="E753" s="5">
        <v>5.6</v>
      </c>
      <c r="F753" s="5">
        <v>4.87</v>
      </c>
      <c r="G753" s="5">
        <f t="shared" si="11"/>
        <v>0.72999999999999954</v>
      </c>
      <c r="H753" s="6">
        <v>2766.5129999999999</v>
      </c>
      <c r="I753" s="7">
        <v>5648.39990234375</v>
      </c>
      <c r="J753" s="7">
        <v>24.6788611533687</v>
      </c>
      <c r="K753" s="7">
        <v>1</v>
      </c>
    </row>
    <row r="754" spans="1:11" x14ac:dyDescent="0.3">
      <c r="A754" s="4">
        <v>45536</v>
      </c>
      <c r="B754" s="5">
        <v>5.13</v>
      </c>
      <c r="C754" s="11">
        <v>314.73200000000003</v>
      </c>
      <c r="D754" s="6">
        <v>99.808400000000006</v>
      </c>
      <c r="E754" s="5">
        <v>5.42</v>
      </c>
      <c r="F754" s="5">
        <v>4.68</v>
      </c>
      <c r="G754" s="5">
        <f t="shared" si="11"/>
        <v>0.74000000000000021</v>
      </c>
      <c r="H754" s="6">
        <v>2777.8982999999998</v>
      </c>
      <c r="I754" s="7">
        <v>5762.47998046875</v>
      </c>
      <c r="J754" s="7">
        <v>17.5515988330122</v>
      </c>
      <c r="K754" s="7">
        <v>0</v>
      </c>
    </row>
    <row r="755" spans="1:11" x14ac:dyDescent="0.3">
      <c r="A755" s="4">
        <v>45566</v>
      </c>
      <c r="B755" s="5">
        <v>4.83</v>
      </c>
      <c r="C755" s="11">
        <v>315.63099999999997</v>
      </c>
      <c r="D755" s="6">
        <v>99.469499999999996</v>
      </c>
      <c r="E755" s="5">
        <v>5.63</v>
      </c>
      <c r="F755" s="5">
        <v>4.95</v>
      </c>
      <c r="G755" s="5">
        <f t="shared" si="11"/>
        <v>0.67999999999999972</v>
      </c>
      <c r="H755" s="6">
        <v>2784.7129</v>
      </c>
      <c r="I755" s="7">
        <v>5705.4501953125</v>
      </c>
      <c r="J755" s="7">
        <v>13.965920365632</v>
      </c>
      <c r="K755" s="7">
        <v>0</v>
      </c>
    </row>
    <row r="756" spans="1:11" x14ac:dyDescent="0.3">
      <c r="A756" s="4">
        <v>45597</v>
      </c>
      <c r="B756" s="5">
        <v>4.6399999999999997</v>
      </c>
      <c r="C756" s="11">
        <v>316.52800000000002</v>
      </c>
      <c r="D756" s="6">
        <v>99.292500000000004</v>
      </c>
      <c r="E756" s="5">
        <v>5.78</v>
      </c>
      <c r="F756" s="5">
        <v>5.14</v>
      </c>
      <c r="G756" s="5">
        <f t="shared" si="11"/>
        <v>0.64000000000000057</v>
      </c>
      <c r="H756" s="6">
        <v>2787.6576</v>
      </c>
      <c r="I756" s="7">
        <v>6032.3798828125</v>
      </c>
      <c r="J756" s="7">
        <v>15.223172526670499</v>
      </c>
      <c r="K756" s="7">
        <v>0</v>
      </c>
    </row>
    <row r="757" spans="1:11" x14ac:dyDescent="0.3">
      <c r="A757" s="4">
        <v>45627</v>
      </c>
      <c r="B757" s="5">
        <v>4.4800000000000004</v>
      </c>
      <c r="C757" s="11">
        <v>317.60399999999998</v>
      </c>
      <c r="D757" s="6">
        <v>100.32729999999999</v>
      </c>
      <c r="E757" s="5">
        <v>5.8</v>
      </c>
      <c r="F757" s="5">
        <v>5.2</v>
      </c>
      <c r="G757" s="5">
        <f t="shared" si="11"/>
        <v>0.59999999999999964</v>
      </c>
      <c r="H757" s="6">
        <v>2765.6419000000001</v>
      </c>
      <c r="I757" s="7">
        <v>5881.6298828125</v>
      </c>
      <c r="J757" s="7">
        <v>18.171824168115599</v>
      </c>
      <c r="K757" s="7">
        <v>0</v>
      </c>
    </row>
    <row r="758" spans="1:11" x14ac:dyDescent="0.3">
      <c r="A758" s="4">
        <v>45658</v>
      </c>
      <c r="B758" s="5">
        <v>4.33</v>
      </c>
      <c r="C758" s="11">
        <v>318.96100000000001</v>
      </c>
      <c r="D758" s="6">
        <v>100.0647</v>
      </c>
      <c r="E758" s="5">
        <v>6.08</v>
      </c>
      <c r="F758" s="5">
        <v>5.46</v>
      </c>
      <c r="G758" s="5">
        <f t="shared" si="11"/>
        <v>0.62000000000000011</v>
      </c>
      <c r="H758" s="6">
        <v>2664.2775000000001</v>
      </c>
      <c r="I758" s="7">
        <v>6040.52978515625</v>
      </c>
      <c r="J758" s="7">
        <v>17.7570570420914</v>
      </c>
      <c r="K758" s="7">
        <v>0</v>
      </c>
    </row>
    <row r="759" spans="1:11" x14ac:dyDescent="0.3">
      <c r="A759" s="4">
        <v>45689</v>
      </c>
      <c r="B759" s="5">
        <v>4.33</v>
      </c>
      <c r="C759" s="11">
        <v>319.67899999999997</v>
      </c>
      <c r="D759" s="6">
        <v>101.0993</v>
      </c>
      <c r="E759" s="5">
        <v>5.92</v>
      </c>
      <c r="F759" s="5">
        <v>5.32</v>
      </c>
      <c r="G759" s="5">
        <f t="shared" si="11"/>
        <v>0.59999999999999964</v>
      </c>
      <c r="H759" s="6">
        <v>2671.3101000000001</v>
      </c>
      <c r="I759" s="7">
        <v>5954.5</v>
      </c>
      <c r="J759" s="7">
        <v>16.7617816462657</v>
      </c>
      <c r="K759" s="7">
        <v>0</v>
      </c>
    </row>
    <row r="760" spans="1:11" x14ac:dyDescent="0.3">
      <c r="A760" s="4">
        <v>45717</v>
      </c>
      <c r="B760" s="5">
        <v>4.33</v>
      </c>
      <c r="C760" s="11">
        <v>319.78500000000003</v>
      </c>
      <c r="D760" s="6">
        <v>101.04040000000001</v>
      </c>
      <c r="E760" s="5">
        <v>5.93</v>
      </c>
      <c r="F760" s="5">
        <v>5.29</v>
      </c>
      <c r="G760" s="5">
        <f t="shared" si="11"/>
        <v>0.63999999999999968</v>
      </c>
      <c r="H760" s="6">
        <v>2675.2916</v>
      </c>
      <c r="I760" s="7">
        <v>5611.85009765625</v>
      </c>
      <c r="J760" s="7">
        <v>26.150052271771301</v>
      </c>
      <c r="K760" s="7">
        <v>1</v>
      </c>
    </row>
    <row r="761" spans="1:11" x14ac:dyDescent="0.3">
      <c r="A761" s="4">
        <v>45748</v>
      </c>
      <c r="B761" s="5">
        <v>4.33</v>
      </c>
      <c r="C761" s="11">
        <v>320.30200000000002</v>
      </c>
      <c r="D761" s="6">
        <v>101.1279</v>
      </c>
      <c r="E761" s="5">
        <v>6.18</v>
      </c>
      <c r="F761" s="5">
        <v>5.45</v>
      </c>
      <c r="G761" s="5">
        <f t="shared" si="11"/>
        <v>0.72999999999999954</v>
      </c>
      <c r="H761" s="6">
        <v>2668.9812000000002</v>
      </c>
      <c r="I761" s="7">
        <v>5569.06005859375</v>
      </c>
      <c r="J761" s="7">
        <v>61.751510501215897</v>
      </c>
      <c r="K761" s="7">
        <v>1</v>
      </c>
    </row>
    <row r="762" spans="1:11" x14ac:dyDescent="0.3">
      <c r="A762" s="4">
        <v>45778</v>
      </c>
      <c r="B762" s="5">
        <v>4.33</v>
      </c>
      <c r="C762" s="11">
        <v>320.62</v>
      </c>
      <c r="D762" s="6">
        <v>100.96550000000001</v>
      </c>
      <c r="E762" s="5">
        <v>6.29</v>
      </c>
      <c r="F762" s="5">
        <v>5.54</v>
      </c>
      <c r="G762" s="5">
        <f t="shared" si="11"/>
        <v>0.75</v>
      </c>
      <c r="H762" s="6">
        <v>2679.5484000000001</v>
      </c>
      <c r="I762" s="7">
        <v>5911.68994140625</v>
      </c>
      <c r="J762" s="7">
        <v>20.890564383815601</v>
      </c>
      <c r="K762" s="7">
        <v>1</v>
      </c>
    </row>
    <row r="763" spans="1:11" x14ac:dyDescent="0.3">
      <c r="A763" s="4">
        <v>45809</v>
      </c>
      <c r="B763" s="5">
        <v>4.33</v>
      </c>
      <c r="C763" s="11">
        <v>321.435</v>
      </c>
      <c r="D763" s="6">
        <v>101.4785</v>
      </c>
      <c r="E763" s="5">
        <v>6.15</v>
      </c>
      <c r="F763" s="5">
        <v>5.46</v>
      </c>
      <c r="G763" s="5">
        <f t="shared" si="11"/>
        <v>0.69000000000000039</v>
      </c>
      <c r="H763" s="6">
        <v>2685.3006</v>
      </c>
      <c r="I763" s="7">
        <v>6204.9501953125</v>
      </c>
      <c r="J763" s="7">
        <v>12.539802177417799</v>
      </c>
      <c r="K763" s="7">
        <v>0</v>
      </c>
    </row>
    <row r="764" spans="1:11" x14ac:dyDescent="0.3">
      <c r="A764" s="4">
        <v>45839</v>
      </c>
      <c r="B764" s="5">
        <v>4.33</v>
      </c>
      <c r="C764" s="11">
        <v>322.16899999999998</v>
      </c>
      <c r="D764" s="6">
        <v>101.89400000000001</v>
      </c>
      <c r="E764" s="5">
        <v>6.1</v>
      </c>
      <c r="F764" s="5">
        <v>5.45</v>
      </c>
      <c r="G764" s="5">
        <f t="shared" si="11"/>
        <v>0.64999999999999947</v>
      </c>
      <c r="H764" s="6">
        <v>2674.3188</v>
      </c>
      <c r="I764" s="7">
        <v>6339.39013671875</v>
      </c>
      <c r="J764" s="7">
        <v>8.1878304882341393</v>
      </c>
      <c r="K764" s="7">
        <v>0</v>
      </c>
    </row>
    <row r="765" spans="1:11" x14ac:dyDescent="0.3">
      <c r="A765" s="4">
        <v>45870</v>
      </c>
      <c r="B765" s="5">
        <v>4.33</v>
      </c>
      <c r="C765" s="11">
        <v>323.291</v>
      </c>
      <c r="D765" s="6">
        <v>101.6247</v>
      </c>
      <c r="E765" s="5">
        <v>6</v>
      </c>
      <c r="F765" s="5">
        <v>5.35</v>
      </c>
      <c r="G765" s="5">
        <f t="shared" si="11"/>
        <v>0.65000000000000036</v>
      </c>
      <c r="H765" s="6">
        <v>2685.1565000000001</v>
      </c>
      <c r="I765" s="7">
        <v>6460.259765625</v>
      </c>
      <c r="J765" s="7">
        <v>15.040744400086099</v>
      </c>
      <c r="K765" s="7">
        <v>0</v>
      </c>
    </row>
    <row r="766" spans="1:11" x14ac:dyDescent="0.3">
      <c r="A766" s="4">
        <v>45901</v>
      </c>
      <c r="B766" s="5">
        <v>4.22</v>
      </c>
      <c r="C766" s="11">
        <v>324.245</v>
      </c>
      <c r="D766" s="6">
        <v>101.7059</v>
      </c>
      <c r="E766" s="5">
        <v>5.83</v>
      </c>
      <c r="F766" s="5">
        <v>5.21</v>
      </c>
      <c r="G766" s="5">
        <f t="shared" si="11"/>
        <v>0.62000000000000011</v>
      </c>
      <c r="H766" s="6">
        <v>2693.7379999999998</v>
      </c>
      <c r="I766" s="7">
        <v>6688.4599609375</v>
      </c>
      <c r="J766" s="7">
        <v>8.9850545280937499</v>
      </c>
      <c r="K766" s="7">
        <v>0</v>
      </c>
    </row>
    <row r="767" spans="1:11" x14ac:dyDescent="0.3">
      <c r="A767" s="4">
        <v>45931</v>
      </c>
      <c r="B767" s="5">
        <v>4.09</v>
      </c>
      <c r="C767" s="11">
        <v>324.245</v>
      </c>
      <c r="D767" s="6">
        <v>101.25700000000001</v>
      </c>
      <c r="E767" s="5">
        <v>5.74</v>
      </c>
      <c r="F767" s="5">
        <v>5.13</v>
      </c>
      <c r="G767" s="5">
        <f t="shared" si="11"/>
        <v>0.61000000000000032</v>
      </c>
      <c r="H767" s="6">
        <v>2692.3125</v>
      </c>
      <c r="I767" s="7">
        <v>6840.2001953125</v>
      </c>
      <c r="J767" s="7">
        <v>17.321515458028198</v>
      </c>
      <c r="K767" s="7">
        <v>0</v>
      </c>
    </row>
    <row r="768" spans="1:11" x14ac:dyDescent="0.3">
      <c r="A768" s="4">
        <v>45962</v>
      </c>
      <c r="B768" s="5">
        <v>3.88</v>
      </c>
      <c r="C768" s="11">
        <v>325.06299999999999</v>
      </c>
      <c r="D768" s="6">
        <v>101.3775</v>
      </c>
      <c r="E768" s="5">
        <v>5.86</v>
      </c>
      <c r="F768" s="5">
        <v>5.26</v>
      </c>
      <c r="G768" s="5">
        <f t="shared" si="11"/>
        <v>0.60000000000000053</v>
      </c>
      <c r="H768" s="6">
        <v>2698.5198999999998</v>
      </c>
      <c r="I768" s="7">
        <v>6849.08984375</v>
      </c>
      <c r="J768" s="7">
        <v>19.526260927482799</v>
      </c>
      <c r="K768" s="7">
        <v>0</v>
      </c>
    </row>
    <row r="769" spans="1:11" x14ac:dyDescent="0.3">
      <c r="A769" s="4">
        <v>45992</v>
      </c>
      <c r="B769" s="5">
        <v>3.72</v>
      </c>
      <c r="C769" s="11">
        <v>326.03100000000001</v>
      </c>
      <c r="D769" s="6">
        <v>101.6296</v>
      </c>
      <c r="E769" s="5">
        <v>5.9</v>
      </c>
      <c r="F769" s="5">
        <v>5.31</v>
      </c>
      <c r="G769" s="5">
        <f t="shared" si="11"/>
        <v>0.59000000000000075</v>
      </c>
      <c r="H769" s="6">
        <v>2709.2908000000002</v>
      </c>
      <c r="I769" s="7">
        <v>6845.5</v>
      </c>
      <c r="J769" s="7">
        <v>11.171429050645701</v>
      </c>
      <c r="K769" s="7">
        <v>0</v>
      </c>
    </row>
    <row r="770" spans="1:11" x14ac:dyDescent="0.3">
      <c r="A770" s="4">
        <v>46023</v>
      </c>
      <c r="B770" s="5">
        <v>3.64</v>
      </c>
      <c r="C770" s="11">
        <v>326.58800000000002</v>
      </c>
      <c r="D770" s="6">
        <v>102.3412</v>
      </c>
      <c r="E770" s="5">
        <v>5.88</v>
      </c>
      <c r="F770" s="5">
        <v>5.34</v>
      </c>
      <c r="G770" s="5">
        <f t="shared" si="11"/>
        <v>0.54</v>
      </c>
      <c r="H770" s="6">
        <v>2743.0472</v>
      </c>
      <c r="I770" s="7">
        <v>6939.02978515625</v>
      </c>
      <c r="J770" s="7">
        <v>13.2454738654989</v>
      </c>
      <c r="K770" s="7">
        <v>0</v>
      </c>
    </row>
    <row r="771" spans="1:11" x14ac:dyDescent="0.3">
      <c r="H771"/>
      <c r="I77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C988-71C6-431A-8D37-BB88647DBF10}">
  <dimension ref="A1:H301"/>
  <sheetViews>
    <sheetView workbookViewId="0">
      <selection activeCell="J12" sqref="J12"/>
    </sheetView>
  </sheetViews>
  <sheetFormatPr defaultRowHeight="14.4" x14ac:dyDescent="0.3"/>
  <cols>
    <col min="1" max="1" width="10.5546875" bestFit="1" customWidth="1"/>
    <col min="5" max="5" width="18.5546875" bestFit="1" customWidth="1"/>
    <col min="6" max="6" width="10.21875" bestFit="1" customWidth="1"/>
  </cols>
  <sheetData>
    <row r="1" spans="1:8" x14ac:dyDescent="0.3">
      <c r="A1" s="8" t="s">
        <v>14</v>
      </c>
      <c r="B1" s="8" t="s">
        <v>5</v>
      </c>
      <c r="C1" s="3" t="s">
        <v>15</v>
      </c>
      <c r="D1" s="3" t="s">
        <v>0</v>
      </c>
      <c r="E1" s="3" t="s">
        <v>16</v>
      </c>
      <c r="F1" s="3" t="s">
        <v>1</v>
      </c>
      <c r="G1" s="3" t="s">
        <v>2</v>
      </c>
      <c r="H1" s="3" t="s">
        <v>3</v>
      </c>
    </row>
    <row r="2" spans="1:8" x14ac:dyDescent="0.3">
      <c r="A2" s="9">
        <v>33239</v>
      </c>
      <c r="B2" s="10">
        <v>3.2712129949471029E-3</v>
      </c>
      <c r="C2" s="5">
        <v>10.45</v>
      </c>
      <c r="D2" s="5">
        <v>8.09</v>
      </c>
      <c r="E2" s="5">
        <f>C2-D2</f>
        <v>2.3599999999999994</v>
      </c>
      <c r="F2" s="6">
        <v>636.13189999999997</v>
      </c>
      <c r="G2" s="5">
        <v>9.5</v>
      </c>
      <c r="H2" s="7">
        <v>343.92999267578102</v>
      </c>
    </row>
    <row r="3" spans="1:8" x14ac:dyDescent="0.3">
      <c r="A3" s="9">
        <v>33240</v>
      </c>
      <c r="B3" s="10">
        <v>-4.1859154007597814E-2</v>
      </c>
      <c r="C3" s="5">
        <v>10.07</v>
      </c>
      <c r="D3" s="5">
        <v>7.85</v>
      </c>
      <c r="E3" s="5">
        <f t="shared" ref="E3:E66" si="0">C3-D3</f>
        <v>2.2200000000000006</v>
      </c>
      <c r="F3" s="6">
        <v>635.91639999999995</v>
      </c>
      <c r="G3" s="5">
        <v>9.0299999999999994</v>
      </c>
      <c r="H3" s="7">
        <v>367.07000732421801</v>
      </c>
    </row>
    <row r="4" spans="1:8" x14ac:dyDescent="0.3">
      <c r="A4" s="9">
        <v>33241</v>
      </c>
      <c r="B4" s="10">
        <v>6.7288499841575963E-2</v>
      </c>
      <c r="C4" s="5">
        <v>10.09</v>
      </c>
      <c r="D4" s="5">
        <v>8.11</v>
      </c>
      <c r="E4" s="5">
        <f t="shared" si="0"/>
        <v>1.9800000000000004</v>
      </c>
      <c r="F4" s="6">
        <v>635.21900000000005</v>
      </c>
      <c r="G4" s="5">
        <v>9</v>
      </c>
      <c r="H4" s="7">
        <v>375.22000122070301</v>
      </c>
    </row>
    <row r="5" spans="1:8" x14ac:dyDescent="0.3">
      <c r="A5" s="9">
        <v>33242</v>
      </c>
      <c r="B5" s="10">
        <v>-0.11868040735848194</v>
      </c>
      <c r="C5" s="5">
        <v>9.94</v>
      </c>
      <c r="D5" s="5">
        <v>8.0399999999999991</v>
      </c>
      <c r="E5" s="5">
        <f t="shared" si="0"/>
        <v>1.9000000000000004</v>
      </c>
      <c r="F5" s="6">
        <v>631.34540000000004</v>
      </c>
      <c r="G5" s="5">
        <v>9</v>
      </c>
      <c r="H5" s="7">
        <v>375.33999633789</v>
      </c>
    </row>
    <row r="6" spans="1:8" x14ac:dyDescent="0.3">
      <c r="A6" s="9">
        <v>33243</v>
      </c>
      <c r="B6" s="10">
        <v>2.8990405448401778E-2</v>
      </c>
      <c r="C6" s="5">
        <v>9.86</v>
      </c>
      <c r="D6" s="5">
        <v>8.07</v>
      </c>
      <c r="E6" s="5">
        <f t="shared" si="0"/>
        <v>1.7899999999999991</v>
      </c>
      <c r="F6" s="6">
        <v>627.78679999999997</v>
      </c>
      <c r="G6" s="5">
        <v>8.5</v>
      </c>
      <c r="H6" s="7">
        <v>389.829986572265</v>
      </c>
    </row>
    <row r="7" spans="1:8" x14ac:dyDescent="0.3">
      <c r="A7" s="9">
        <v>33244</v>
      </c>
      <c r="B7" s="10">
        <v>0</v>
      </c>
      <c r="C7" s="5">
        <v>9.9600000000000009</v>
      </c>
      <c r="D7" s="5">
        <v>8.2799999999999994</v>
      </c>
      <c r="E7" s="5">
        <f t="shared" si="0"/>
        <v>1.6800000000000015</v>
      </c>
      <c r="F7" s="6">
        <v>626.11120000000005</v>
      </c>
      <c r="G7" s="5">
        <v>8.5</v>
      </c>
      <c r="H7" s="7">
        <v>371.16000366210898</v>
      </c>
    </row>
    <row r="8" spans="1:8" x14ac:dyDescent="0.3">
      <c r="A8" s="9">
        <v>33245</v>
      </c>
      <c r="B8" s="10">
        <v>4.3854588822227959E-2</v>
      </c>
      <c r="C8" s="5">
        <v>9.89</v>
      </c>
      <c r="D8" s="5">
        <v>8.27</v>
      </c>
      <c r="E8" s="5">
        <f t="shared" si="0"/>
        <v>1.620000000000001</v>
      </c>
      <c r="F8" s="6">
        <v>623.15729999999996</v>
      </c>
      <c r="G8" s="5">
        <v>8.5</v>
      </c>
      <c r="H8" s="7">
        <v>387.80999755859301</v>
      </c>
    </row>
    <row r="9" spans="1:8" x14ac:dyDescent="0.3">
      <c r="A9" s="9">
        <v>33246</v>
      </c>
      <c r="B9" s="10">
        <v>5.0794278859754606E-3</v>
      </c>
      <c r="C9" s="5">
        <v>9.65</v>
      </c>
      <c r="D9" s="5">
        <v>7.9</v>
      </c>
      <c r="E9" s="5">
        <f t="shared" si="0"/>
        <v>1.75</v>
      </c>
      <c r="F9" s="6">
        <v>618.34680000000003</v>
      </c>
      <c r="G9" s="5">
        <v>8.5</v>
      </c>
      <c r="H9" s="7">
        <v>395.42999267578102</v>
      </c>
    </row>
    <row r="10" spans="1:8" x14ac:dyDescent="0.3">
      <c r="A10" s="9">
        <v>33247</v>
      </c>
      <c r="B10" s="10">
        <v>1.0479138886215043E-2</v>
      </c>
      <c r="C10" s="5">
        <v>9.51</v>
      </c>
      <c r="D10" s="5">
        <v>7.65</v>
      </c>
      <c r="E10" s="5">
        <f t="shared" si="0"/>
        <v>1.8599999999999994</v>
      </c>
      <c r="F10" s="6">
        <v>620.49590000000001</v>
      </c>
      <c r="G10" s="5">
        <v>8.1999999999999993</v>
      </c>
      <c r="H10" s="7">
        <v>387.85998535156199</v>
      </c>
    </row>
    <row r="11" spans="1:8" x14ac:dyDescent="0.3">
      <c r="A11" s="9">
        <v>33248</v>
      </c>
      <c r="B11" s="10">
        <v>1.6278610852683877E-2</v>
      </c>
      <c r="C11" s="5">
        <v>9.49</v>
      </c>
      <c r="D11" s="5">
        <v>7.53</v>
      </c>
      <c r="E11" s="5">
        <f t="shared" si="0"/>
        <v>1.96</v>
      </c>
      <c r="F11" s="6">
        <v>620.9588</v>
      </c>
      <c r="G11" s="5">
        <v>8</v>
      </c>
      <c r="H11" s="7">
        <v>392.45001220703102</v>
      </c>
    </row>
    <row r="12" spans="1:8" x14ac:dyDescent="0.3">
      <c r="A12" s="9">
        <v>33249</v>
      </c>
      <c r="B12" s="10">
        <v>-7.0518719431390292E-2</v>
      </c>
      <c r="C12" s="5">
        <v>9.4499999999999993</v>
      </c>
      <c r="D12" s="5">
        <v>7.42</v>
      </c>
      <c r="E12" s="5">
        <f t="shared" si="0"/>
        <v>2.0299999999999994</v>
      </c>
      <c r="F12" s="6">
        <v>618.41409999999996</v>
      </c>
      <c r="G12" s="5">
        <v>7.58</v>
      </c>
      <c r="H12" s="7">
        <v>375.22000122070301</v>
      </c>
    </row>
    <row r="13" spans="1:8" x14ac:dyDescent="0.3">
      <c r="A13" s="9">
        <v>33250</v>
      </c>
      <c r="B13" s="10">
        <v>-0.10221181461809212</v>
      </c>
      <c r="C13" s="5">
        <v>9.26</v>
      </c>
      <c r="D13" s="5">
        <v>7.09</v>
      </c>
      <c r="E13" s="5">
        <f t="shared" si="0"/>
        <v>2.17</v>
      </c>
      <c r="F13" s="6">
        <v>618.83619999999996</v>
      </c>
      <c r="G13" s="5">
        <v>7.21</v>
      </c>
      <c r="H13" s="7">
        <v>417.08999633789</v>
      </c>
    </row>
    <row r="14" spans="1:8" x14ac:dyDescent="0.3">
      <c r="A14" s="9">
        <v>33604</v>
      </c>
      <c r="B14" s="10">
        <v>0</v>
      </c>
      <c r="C14" s="5">
        <v>9.1300000000000008</v>
      </c>
      <c r="D14" s="5">
        <v>7.03</v>
      </c>
      <c r="E14" s="5">
        <f t="shared" si="0"/>
        <v>2.1000000000000005</v>
      </c>
      <c r="F14" s="6">
        <v>613.57380000000001</v>
      </c>
      <c r="G14" s="5">
        <v>6.5</v>
      </c>
      <c r="H14" s="7">
        <v>408.77999877929602</v>
      </c>
    </row>
    <row r="15" spans="1:8" x14ac:dyDescent="0.3">
      <c r="A15" s="9">
        <v>33605</v>
      </c>
      <c r="B15" s="10">
        <v>2.5704804043638656E-2</v>
      </c>
      <c r="C15" s="5">
        <v>9.23</v>
      </c>
      <c r="D15" s="5">
        <v>7.34</v>
      </c>
      <c r="E15" s="5">
        <f t="shared" si="0"/>
        <v>1.8900000000000006</v>
      </c>
      <c r="F15" s="6">
        <v>609.67430000000002</v>
      </c>
      <c r="G15" s="5">
        <v>6.5</v>
      </c>
      <c r="H15" s="7">
        <v>412.70001220703102</v>
      </c>
    </row>
    <row r="16" spans="1:8" x14ac:dyDescent="0.3">
      <c r="A16" s="9">
        <v>33606</v>
      </c>
      <c r="B16" s="10">
        <v>0</v>
      </c>
      <c r="C16" s="5">
        <v>9.25</v>
      </c>
      <c r="D16" s="5">
        <v>7.54</v>
      </c>
      <c r="E16" s="5">
        <f t="shared" si="0"/>
        <v>1.71</v>
      </c>
      <c r="F16" s="6">
        <v>607.34379999999999</v>
      </c>
      <c r="G16" s="5">
        <v>6.5</v>
      </c>
      <c r="H16" s="7">
        <v>403.69000244140602</v>
      </c>
    </row>
    <row r="17" spans="1:8" x14ac:dyDescent="0.3">
      <c r="A17" s="9">
        <v>33607</v>
      </c>
      <c r="B17" s="10">
        <v>-0.13884493817700083</v>
      </c>
      <c r="C17" s="5">
        <v>9.2100000000000009</v>
      </c>
      <c r="D17" s="5">
        <v>7.48</v>
      </c>
      <c r="E17" s="5">
        <f t="shared" si="0"/>
        <v>1.7300000000000004</v>
      </c>
      <c r="F17" s="6">
        <v>604.42060000000004</v>
      </c>
      <c r="G17" s="5">
        <v>6.5</v>
      </c>
      <c r="H17" s="7">
        <v>414.95001220703102</v>
      </c>
    </row>
    <row r="18" spans="1:8" x14ac:dyDescent="0.3">
      <c r="A18" s="9">
        <v>33608</v>
      </c>
      <c r="B18" s="10">
        <v>1.4592504469148716E-2</v>
      </c>
      <c r="C18" s="5">
        <v>9.1300000000000008</v>
      </c>
      <c r="D18" s="5">
        <v>7.39</v>
      </c>
      <c r="E18" s="5">
        <f t="shared" si="0"/>
        <v>1.7400000000000011</v>
      </c>
      <c r="F18" s="6">
        <v>602.25250000000005</v>
      </c>
      <c r="G18" s="5">
        <v>6.5</v>
      </c>
      <c r="H18" s="7">
        <v>415.350006103515</v>
      </c>
    </row>
    <row r="19" spans="1:8" x14ac:dyDescent="0.3">
      <c r="A19" s="9">
        <v>33609</v>
      </c>
      <c r="B19" s="10">
        <v>0</v>
      </c>
      <c r="C19" s="5">
        <v>9.0500000000000007</v>
      </c>
      <c r="D19" s="5">
        <v>7.26</v>
      </c>
      <c r="E19" s="5">
        <f t="shared" si="0"/>
        <v>1.7900000000000009</v>
      </c>
      <c r="F19" s="6">
        <v>600.72829999999999</v>
      </c>
      <c r="G19" s="5">
        <v>6.5</v>
      </c>
      <c r="H19" s="7">
        <v>408.14001464843699</v>
      </c>
    </row>
    <row r="20" spans="1:8" x14ac:dyDescent="0.3">
      <c r="A20" s="9">
        <v>33610</v>
      </c>
      <c r="B20" s="10">
        <v>-0.23799335200121582</v>
      </c>
      <c r="C20" s="5">
        <v>8.84</v>
      </c>
      <c r="D20" s="5">
        <v>6.84</v>
      </c>
      <c r="E20" s="5">
        <f t="shared" si="0"/>
        <v>2</v>
      </c>
      <c r="F20" s="6">
        <v>599.25210000000004</v>
      </c>
      <c r="G20" s="5">
        <v>6.02</v>
      </c>
      <c r="H20" s="7">
        <v>424.20999145507801</v>
      </c>
    </row>
    <row r="21" spans="1:8" x14ac:dyDescent="0.3">
      <c r="A21" s="9">
        <v>33611</v>
      </c>
      <c r="B21" s="10">
        <v>-1.825742845192764E-2</v>
      </c>
      <c r="C21" s="5">
        <v>8.65</v>
      </c>
      <c r="D21" s="5">
        <v>6.59</v>
      </c>
      <c r="E21" s="5">
        <f t="shared" si="0"/>
        <v>2.0600000000000005</v>
      </c>
      <c r="F21" s="6">
        <v>597.28309999999999</v>
      </c>
      <c r="G21" s="5">
        <v>6</v>
      </c>
      <c r="H21" s="7">
        <v>414.02999877929602</v>
      </c>
    </row>
    <row r="22" spans="1:8" x14ac:dyDescent="0.3">
      <c r="A22" s="9">
        <v>33612</v>
      </c>
      <c r="B22" s="10">
        <v>-3.1756726402712321E-2</v>
      </c>
      <c r="C22" s="5">
        <v>8.6199999999999992</v>
      </c>
      <c r="D22" s="5">
        <v>6.42</v>
      </c>
      <c r="E22" s="5">
        <f t="shared" si="0"/>
        <v>2.1999999999999993</v>
      </c>
      <c r="F22" s="6">
        <v>598.39559999999994</v>
      </c>
      <c r="G22" s="5">
        <v>6</v>
      </c>
      <c r="H22" s="7">
        <v>417.79998779296801</v>
      </c>
    </row>
    <row r="23" spans="1:8" x14ac:dyDescent="0.3">
      <c r="A23" s="9">
        <v>33613</v>
      </c>
      <c r="B23" s="10">
        <v>4.9308947945591111E-2</v>
      </c>
      <c r="C23" s="5">
        <v>8.84</v>
      </c>
      <c r="D23" s="5">
        <v>6.59</v>
      </c>
      <c r="E23" s="5">
        <f t="shared" si="0"/>
        <v>2.25</v>
      </c>
      <c r="F23" s="6">
        <v>596.83240000000001</v>
      </c>
      <c r="G23" s="5">
        <v>6</v>
      </c>
      <c r="H23" s="7">
        <v>418.67999267578102</v>
      </c>
    </row>
    <row r="24" spans="1:8" x14ac:dyDescent="0.3">
      <c r="A24" s="9">
        <v>33614</v>
      </c>
      <c r="B24" s="10">
        <v>4.7175846975583469E-2</v>
      </c>
      <c r="C24" s="5">
        <v>8.9600000000000009</v>
      </c>
      <c r="D24" s="5">
        <v>6.87</v>
      </c>
      <c r="E24" s="5">
        <f t="shared" si="0"/>
        <v>2.0900000000000007</v>
      </c>
      <c r="F24" s="6">
        <v>596.89480000000003</v>
      </c>
      <c r="G24" s="5">
        <v>6</v>
      </c>
      <c r="H24" s="7">
        <v>431.350006103515</v>
      </c>
    </row>
    <row r="25" spans="1:8" x14ac:dyDescent="0.3">
      <c r="A25" s="9">
        <v>33615</v>
      </c>
      <c r="B25" s="10">
        <v>-3.6787885953017694E-3</v>
      </c>
      <c r="C25" s="5">
        <v>8.81</v>
      </c>
      <c r="D25" s="5">
        <v>6.77</v>
      </c>
      <c r="E25" s="5">
        <f t="shared" si="0"/>
        <v>2.0400000000000009</v>
      </c>
      <c r="F25" s="6">
        <v>596.92020000000002</v>
      </c>
      <c r="G25" s="5">
        <v>6</v>
      </c>
      <c r="H25" s="7">
        <v>435.70999145507801</v>
      </c>
    </row>
    <row r="26" spans="1:8" x14ac:dyDescent="0.3">
      <c r="A26" s="9">
        <v>33970</v>
      </c>
      <c r="B26" s="10">
        <v>0</v>
      </c>
      <c r="C26" s="5">
        <v>8.67</v>
      </c>
      <c r="D26" s="5">
        <v>6.6</v>
      </c>
      <c r="E26" s="5">
        <f t="shared" si="0"/>
        <v>2.0700000000000003</v>
      </c>
      <c r="F26" s="6">
        <v>595.45330000000001</v>
      </c>
      <c r="G26" s="5">
        <v>6</v>
      </c>
      <c r="H26" s="7">
        <v>438.77999877929602</v>
      </c>
    </row>
    <row r="27" spans="1:8" x14ac:dyDescent="0.3">
      <c r="A27" s="9">
        <v>33971</v>
      </c>
      <c r="B27" s="10">
        <v>2.7922943134815123E-2</v>
      </c>
      <c r="C27" s="5">
        <v>8.39</v>
      </c>
      <c r="D27" s="5">
        <v>6.26</v>
      </c>
      <c r="E27" s="5">
        <f t="shared" si="0"/>
        <v>2.1300000000000008</v>
      </c>
      <c r="F27" s="6">
        <v>593.40740000000005</v>
      </c>
      <c r="G27" s="5">
        <v>6</v>
      </c>
      <c r="H27" s="7">
        <v>443.38000488281199</v>
      </c>
    </row>
    <row r="28" spans="1:8" x14ac:dyDescent="0.3">
      <c r="A28" s="9">
        <v>33972</v>
      </c>
      <c r="B28" s="10">
        <v>1.2228111564896126E-2</v>
      </c>
      <c r="C28" s="5">
        <v>8.15</v>
      </c>
      <c r="D28" s="5">
        <v>5.98</v>
      </c>
      <c r="E28" s="5">
        <f t="shared" si="0"/>
        <v>2.17</v>
      </c>
      <c r="F28" s="6">
        <v>591.30070000000001</v>
      </c>
      <c r="G28" s="5">
        <v>6</v>
      </c>
      <c r="H28" s="7">
        <v>451.67001342773398</v>
      </c>
    </row>
    <row r="29" spans="1:8" x14ac:dyDescent="0.3">
      <c r="A29" s="9">
        <v>33973</v>
      </c>
      <c r="B29" s="10">
        <v>0</v>
      </c>
      <c r="C29" s="5">
        <v>8.14</v>
      </c>
      <c r="D29" s="5">
        <v>5.97</v>
      </c>
      <c r="E29" s="5">
        <f t="shared" si="0"/>
        <v>2.1700000000000008</v>
      </c>
      <c r="F29" s="6">
        <v>585.57950000000005</v>
      </c>
      <c r="G29" s="5">
        <v>6</v>
      </c>
      <c r="H29" s="7">
        <v>440.19000244140602</v>
      </c>
    </row>
    <row r="30" spans="1:8" x14ac:dyDescent="0.3">
      <c r="A30" s="9">
        <v>33974</v>
      </c>
      <c r="B30" s="10">
        <v>1.5206896907088287E-2</v>
      </c>
      <c r="C30" s="5">
        <v>8.2100000000000009</v>
      </c>
      <c r="D30" s="5">
        <v>6.04</v>
      </c>
      <c r="E30" s="5">
        <f t="shared" si="0"/>
        <v>2.1700000000000008</v>
      </c>
      <c r="F30" s="6">
        <v>588.00609999999995</v>
      </c>
      <c r="G30" s="5">
        <v>6</v>
      </c>
      <c r="H30" s="7">
        <v>450.19000244140602</v>
      </c>
    </row>
    <row r="31" spans="1:8" x14ac:dyDescent="0.3">
      <c r="A31" s="9">
        <v>33975</v>
      </c>
      <c r="B31" s="10">
        <v>0</v>
      </c>
      <c r="C31" s="5">
        <v>8.07</v>
      </c>
      <c r="D31" s="5">
        <v>5.96</v>
      </c>
      <c r="E31" s="5">
        <f t="shared" si="0"/>
        <v>2.1100000000000003</v>
      </c>
      <c r="F31" s="6">
        <v>589.90949999999998</v>
      </c>
      <c r="G31" s="5">
        <v>6</v>
      </c>
      <c r="H31" s="7">
        <v>450.52999877929602</v>
      </c>
    </row>
    <row r="32" spans="1:8" x14ac:dyDescent="0.3">
      <c r="A32" s="9">
        <v>33976</v>
      </c>
      <c r="B32" s="10">
        <v>-4.8100172593257967E-4</v>
      </c>
      <c r="C32" s="5">
        <v>7.93</v>
      </c>
      <c r="D32" s="5">
        <v>5.81</v>
      </c>
      <c r="E32" s="5">
        <f t="shared" si="0"/>
        <v>2.12</v>
      </c>
      <c r="F32" s="6">
        <v>587.92769999999996</v>
      </c>
      <c r="G32" s="5">
        <v>6</v>
      </c>
      <c r="H32" s="7">
        <v>448.13000488281199</v>
      </c>
    </row>
    <row r="33" spans="1:8" x14ac:dyDescent="0.3">
      <c r="A33" s="9">
        <v>33977</v>
      </c>
      <c r="B33" s="10">
        <v>2.0022157121482333E-2</v>
      </c>
      <c r="C33" s="5">
        <v>7.6</v>
      </c>
      <c r="D33" s="5">
        <v>5.68</v>
      </c>
      <c r="E33" s="5">
        <f t="shared" si="0"/>
        <v>1.92</v>
      </c>
      <c r="F33" s="6">
        <v>587.81560000000002</v>
      </c>
      <c r="G33" s="5">
        <v>6</v>
      </c>
      <c r="H33" s="7">
        <v>463.55999755859301</v>
      </c>
    </row>
    <row r="34" spans="1:8" x14ac:dyDescent="0.3">
      <c r="A34" s="9">
        <v>33978</v>
      </c>
      <c r="B34" s="10">
        <v>4.3719769097733063E-2</v>
      </c>
      <c r="C34" s="5">
        <v>7.34</v>
      </c>
      <c r="D34" s="5">
        <v>5.36</v>
      </c>
      <c r="E34" s="5">
        <f t="shared" si="0"/>
        <v>1.9799999999999995</v>
      </c>
      <c r="F34" s="6">
        <v>585.45650000000001</v>
      </c>
      <c r="G34" s="5">
        <v>6</v>
      </c>
      <c r="H34" s="7">
        <v>458.92999267578102</v>
      </c>
    </row>
    <row r="35" spans="1:8" x14ac:dyDescent="0.3">
      <c r="A35" s="9">
        <v>33979</v>
      </c>
      <c r="B35" s="10">
        <v>0</v>
      </c>
      <c r="C35" s="5">
        <v>7.31</v>
      </c>
      <c r="D35" s="5">
        <v>5.33</v>
      </c>
      <c r="E35" s="5">
        <f t="shared" si="0"/>
        <v>1.9799999999999995</v>
      </c>
      <c r="F35" s="6">
        <v>583.90719999999999</v>
      </c>
      <c r="G35" s="5">
        <v>6</v>
      </c>
      <c r="H35" s="7">
        <v>467.829986572265</v>
      </c>
    </row>
    <row r="36" spans="1:8" x14ac:dyDescent="0.3">
      <c r="A36" s="9">
        <v>33980</v>
      </c>
      <c r="B36" s="10">
        <v>-4.2391569686464799E-4</v>
      </c>
      <c r="C36" s="5">
        <v>7.66</v>
      </c>
      <c r="D36" s="5">
        <v>5.72</v>
      </c>
      <c r="E36" s="5">
        <f t="shared" si="0"/>
        <v>1.9400000000000004</v>
      </c>
      <c r="F36" s="6">
        <v>584.04830000000004</v>
      </c>
      <c r="G36" s="5">
        <v>6</v>
      </c>
      <c r="H36" s="7">
        <v>461.79000854492102</v>
      </c>
    </row>
    <row r="37" spans="1:8" x14ac:dyDescent="0.3">
      <c r="A37" s="9">
        <v>33981</v>
      </c>
      <c r="B37" s="10">
        <v>-3.0413789695626331E-2</v>
      </c>
      <c r="C37" s="5">
        <v>7.69</v>
      </c>
      <c r="D37" s="5">
        <v>5.77</v>
      </c>
      <c r="E37" s="5">
        <f t="shared" si="0"/>
        <v>1.9200000000000008</v>
      </c>
      <c r="F37" s="6">
        <v>583.99279999999999</v>
      </c>
      <c r="G37" s="5">
        <v>6</v>
      </c>
      <c r="H37" s="7">
        <v>466.45001220703102</v>
      </c>
    </row>
    <row r="38" spans="1:8" x14ac:dyDescent="0.3">
      <c r="A38" s="9">
        <v>34335</v>
      </c>
      <c r="B38" s="10">
        <v>0</v>
      </c>
      <c r="C38" s="5">
        <v>7.65</v>
      </c>
      <c r="D38" s="5">
        <v>5.75</v>
      </c>
      <c r="E38" s="5">
        <f t="shared" si="0"/>
        <v>1.9000000000000004</v>
      </c>
      <c r="F38" s="6">
        <v>587.41780000000006</v>
      </c>
      <c r="G38" s="5">
        <v>6</v>
      </c>
      <c r="H38" s="7">
        <v>481.60998535156199</v>
      </c>
    </row>
    <row r="39" spans="1:8" x14ac:dyDescent="0.3">
      <c r="A39" s="9">
        <v>34336</v>
      </c>
      <c r="B39" s="10">
        <v>-3.4203364416853427E-2</v>
      </c>
      <c r="C39" s="5">
        <v>7.76</v>
      </c>
      <c r="D39" s="5">
        <v>5.97</v>
      </c>
      <c r="E39" s="5">
        <f t="shared" si="0"/>
        <v>1.79</v>
      </c>
      <c r="F39" s="6">
        <v>587.92190000000005</v>
      </c>
      <c r="G39" s="5">
        <v>6</v>
      </c>
      <c r="H39" s="7">
        <v>467.14001464843699</v>
      </c>
    </row>
    <row r="40" spans="1:8" x14ac:dyDescent="0.3">
      <c r="A40" s="9">
        <v>34337</v>
      </c>
      <c r="B40" s="10">
        <v>-1.367534760041521E-2</v>
      </c>
      <c r="C40" s="5">
        <v>8.1300000000000008</v>
      </c>
      <c r="D40" s="5">
        <v>6.48</v>
      </c>
      <c r="E40" s="5">
        <f t="shared" si="0"/>
        <v>1.6500000000000004</v>
      </c>
      <c r="F40" s="6">
        <v>594.78890000000001</v>
      </c>
      <c r="G40" s="5">
        <v>6.07</v>
      </c>
      <c r="H40" s="7">
        <v>445.76998901367102</v>
      </c>
    </row>
    <row r="41" spans="1:8" x14ac:dyDescent="0.3">
      <c r="A41" s="9">
        <v>34338</v>
      </c>
      <c r="B41" s="10">
        <v>0.11958566869654157</v>
      </c>
      <c r="C41" s="5">
        <v>8.52</v>
      </c>
      <c r="D41" s="5">
        <v>6.97</v>
      </c>
      <c r="E41" s="5">
        <f t="shared" si="0"/>
        <v>1.5499999999999998</v>
      </c>
      <c r="F41" s="6">
        <v>600.40380000000005</v>
      </c>
      <c r="G41" s="5">
        <v>6.45</v>
      </c>
      <c r="H41" s="7">
        <v>450.91000366210898</v>
      </c>
    </row>
    <row r="42" spans="1:8" x14ac:dyDescent="0.3">
      <c r="A42" s="9">
        <v>34339</v>
      </c>
      <c r="B42" s="10">
        <v>5.1633782949480865E-2</v>
      </c>
      <c r="C42" s="5">
        <v>8.6199999999999992</v>
      </c>
      <c r="D42" s="5">
        <v>7.18</v>
      </c>
      <c r="E42" s="5">
        <f t="shared" si="0"/>
        <v>1.4399999999999995</v>
      </c>
      <c r="F42" s="6">
        <v>604.75120000000004</v>
      </c>
      <c r="G42" s="5">
        <v>6.99</v>
      </c>
      <c r="H42" s="7">
        <v>456.5</v>
      </c>
    </row>
    <row r="43" spans="1:8" x14ac:dyDescent="0.3">
      <c r="A43" s="9">
        <v>34340</v>
      </c>
      <c r="B43" s="10">
        <v>0</v>
      </c>
      <c r="C43" s="5">
        <v>8.65</v>
      </c>
      <c r="D43" s="5">
        <v>7.1</v>
      </c>
      <c r="E43" s="5">
        <f t="shared" si="0"/>
        <v>1.5500000000000007</v>
      </c>
      <c r="F43" s="6">
        <v>608.70140000000004</v>
      </c>
      <c r="G43" s="5">
        <v>7.25</v>
      </c>
      <c r="H43" s="7">
        <v>444.26998901367102</v>
      </c>
    </row>
    <row r="44" spans="1:8" x14ac:dyDescent="0.3">
      <c r="A44" s="9">
        <v>34341</v>
      </c>
      <c r="B44" s="10">
        <v>-1.2558304262604719E-2</v>
      </c>
      <c r="C44" s="5">
        <v>8.8000000000000007</v>
      </c>
      <c r="D44" s="5">
        <v>7.3</v>
      </c>
      <c r="E44" s="5">
        <f t="shared" si="0"/>
        <v>1.5000000000000009</v>
      </c>
      <c r="F44" s="6">
        <v>616.57330000000002</v>
      </c>
      <c r="G44" s="5">
        <v>7.25</v>
      </c>
      <c r="H44" s="7">
        <v>458.260009765625</v>
      </c>
    </row>
    <row r="45" spans="1:8" x14ac:dyDescent="0.3">
      <c r="A45" s="9">
        <v>34342</v>
      </c>
      <c r="B45" s="10">
        <v>2.6666632063688852E-3</v>
      </c>
      <c r="C45" s="5">
        <v>8.74</v>
      </c>
      <c r="D45" s="5">
        <v>7.24</v>
      </c>
      <c r="E45" s="5">
        <f t="shared" si="0"/>
        <v>1.5</v>
      </c>
      <c r="F45" s="6">
        <v>622.31219999999996</v>
      </c>
      <c r="G45" s="5">
        <v>7.51</v>
      </c>
      <c r="H45" s="7">
        <v>475.489990234375</v>
      </c>
    </row>
    <row r="46" spans="1:8" x14ac:dyDescent="0.3">
      <c r="A46" s="9">
        <v>34343</v>
      </c>
      <c r="B46" s="10">
        <v>-5.271623715353381E-2</v>
      </c>
      <c r="C46" s="5">
        <v>8.98</v>
      </c>
      <c r="D46" s="5">
        <v>7.46</v>
      </c>
      <c r="E46" s="5">
        <f t="shared" si="0"/>
        <v>1.5200000000000005</v>
      </c>
      <c r="F46" s="6">
        <v>625.05219999999997</v>
      </c>
      <c r="G46" s="5">
        <v>7.75</v>
      </c>
      <c r="H46" s="7">
        <v>462.70999145507801</v>
      </c>
    </row>
    <row r="47" spans="1:8" x14ac:dyDescent="0.3">
      <c r="A47" s="9">
        <v>34344</v>
      </c>
      <c r="B47" s="10">
        <v>0</v>
      </c>
      <c r="C47" s="5">
        <v>9.1999999999999993</v>
      </c>
      <c r="D47" s="5">
        <v>7.74</v>
      </c>
      <c r="E47" s="5">
        <f t="shared" si="0"/>
        <v>1.4599999999999991</v>
      </c>
      <c r="F47" s="6">
        <v>631.61969999999997</v>
      </c>
      <c r="G47" s="5">
        <v>7.75</v>
      </c>
      <c r="H47" s="7">
        <v>472.350006103515</v>
      </c>
    </row>
    <row r="48" spans="1:8" x14ac:dyDescent="0.3">
      <c r="A48" s="9">
        <v>34345</v>
      </c>
      <c r="B48" s="10">
        <v>5.6933550189558139E-2</v>
      </c>
      <c r="C48" s="5">
        <v>9.32</v>
      </c>
      <c r="D48" s="5">
        <v>7.96</v>
      </c>
      <c r="E48" s="5">
        <f t="shared" si="0"/>
        <v>1.3600000000000003</v>
      </c>
      <c r="F48" s="6">
        <v>638.46209999999996</v>
      </c>
      <c r="G48" s="5">
        <v>8.16</v>
      </c>
      <c r="H48" s="7">
        <v>453.69000244140602</v>
      </c>
    </row>
    <row r="49" spans="1:8" x14ac:dyDescent="0.3">
      <c r="A49" s="9">
        <v>34346</v>
      </c>
      <c r="B49" s="10">
        <v>-5.8004499722403319E-2</v>
      </c>
      <c r="C49" s="5">
        <v>9.1</v>
      </c>
      <c r="D49" s="5">
        <v>7.81</v>
      </c>
      <c r="E49" s="5">
        <f t="shared" si="0"/>
        <v>1.29</v>
      </c>
      <c r="F49" s="6">
        <v>643.98789999999997</v>
      </c>
      <c r="G49" s="5">
        <v>8.5</v>
      </c>
      <c r="H49" s="7">
        <v>459.26998901367102</v>
      </c>
    </row>
    <row r="50" spans="1:8" x14ac:dyDescent="0.3">
      <c r="A50" s="9">
        <v>34700</v>
      </c>
      <c r="B50" s="10">
        <v>0</v>
      </c>
      <c r="C50" s="5">
        <v>9.08</v>
      </c>
      <c r="D50" s="5">
        <v>7.78</v>
      </c>
      <c r="E50" s="5">
        <f t="shared" si="0"/>
        <v>1.2999999999999998</v>
      </c>
      <c r="F50" s="6">
        <v>654.31039999999996</v>
      </c>
      <c r="G50" s="5">
        <v>8.5</v>
      </c>
      <c r="H50" s="7">
        <v>470.42001342773398</v>
      </c>
    </row>
    <row r="51" spans="1:8" x14ac:dyDescent="0.3">
      <c r="A51" s="9">
        <v>34701</v>
      </c>
      <c r="B51" s="10">
        <v>-1.1138091815897078E-2</v>
      </c>
      <c r="C51" s="5">
        <v>8.85</v>
      </c>
      <c r="D51" s="5">
        <v>7.47</v>
      </c>
      <c r="E51" s="5">
        <f t="shared" si="0"/>
        <v>1.38</v>
      </c>
      <c r="F51" s="6">
        <v>666.38430000000005</v>
      </c>
      <c r="G51" s="5">
        <v>9</v>
      </c>
      <c r="H51" s="7">
        <v>487.39001464843699</v>
      </c>
    </row>
    <row r="52" spans="1:8" x14ac:dyDescent="0.3">
      <c r="A52" s="9">
        <v>34702</v>
      </c>
      <c r="B52" s="10">
        <v>3.3075106539674271E-2</v>
      </c>
      <c r="C52" s="5">
        <v>8.6999999999999993</v>
      </c>
      <c r="D52" s="5">
        <v>7.2</v>
      </c>
      <c r="E52" s="5">
        <f t="shared" si="0"/>
        <v>1.4999999999999991</v>
      </c>
      <c r="F52" s="6">
        <v>673.49620000000004</v>
      </c>
      <c r="G52" s="5">
        <v>9</v>
      </c>
      <c r="H52" s="7">
        <v>500.70999145507801</v>
      </c>
    </row>
    <row r="53" spans="1:8" x14ac:dyDescent="0.3">
      <c r="A53" s="9">
        <v>34703</v>
      </c>
      <c r="B53" s="10">
        <v>0</v>
      </c>
      <c r="C53" s="5">
        <v>8.6</v>
      </c>
      <c r="D53" s="5">
        <v>7.06</v>
      </c>
      <c r="E53" s="5">
        <f t="shared" si="0"/>
        <v>1.54</v>
      </c>
      <c r="F53" s="6">
        <v>677.4348</v>
      </c>
      <c r="G53" s="5">
        <v>9</v>
      </c>
      <c r="H53" s="7">
        <v>514.71002197265602</v>
      </c>
    </row>
    <row r="54" spans="1:8" x14ac:dyDescent="0.3">
      <c r="A54" s="9">
        <v>34704</v>
      </c>
      <c r="B54" s="10">
        <v>3.1902973043296874E-2</v>
      </c>
      <c r="C54" s="5">
        <v>8.1999999999999993</v>
      </c>
      <c r="D54" s="5">
        <v>6.63</v>
      </c>
      <c r="E54" s="5">
        <f t="shared" si="0"/>
        <v>1.5699999999999994</v>
      </c>
      <c r="F54" s="6">
        <v>686.05139999999994</v>
      </c>
      <c r="G54" s="5">
        <v>9</v>
      </c>
      <c r="H54" s="7">
        <v>533.40002441406205</v>
      </c>
    </row>
    <row r="55" spans="1:8" x14ac:dyDescent="0.3">
      <c r="A55" s="9">
        <v>34705</v>
      </c>
      <c r="B55" s="10">
        <v>0</v>
      </c>
      <c r="C55" s="5">
        <v>7.9</v>
      </c>
      <c r="D55" s="5">
        <v>6.17</v>
      </c>
      <c r="E55" s="5">
        <f t="shared" si="0"/>
        <v>1.7300000000000004</v>
      </c>
      <c r="F55" s="6">
        <v>690.38149999999996</v>
      </c>
      <c r="G55" s="5">
        <v>9</v>
      </c>
      <c r="H55" s="7">
        <v>544.75</v>
      </c>
    </row>
    <row r="56" spans="1:8" x14ac:dyDescent="0.3">
      <c r="A56" s="9">
        <v>34706</v>
      </c>
      <c r="B56" s="10">
        <v>-8.1682899543828874E-2</v>
      </c>
      <c r="C56" s="5">
        <v>8.0399999999999991</v>
      </c>
      <c r="D56" s="5">
        <v>6.28</v>
      </c>
      <c r="E56" s="5">
        <f t="shared" si="0"/>
        <v>1.7599999999999989</v>
      </c>
      <c r="F56" s="6">
        <v>698.66579999999999</v>
      </c>
      <c r="G56" s="5">
        <v>8.7899999999999991</v>
      </c>
      <c r="H56" s="7">
        <v>562.05999755859295</v>
      </c>
    </row>
    <row r="57" spans="1:8" x14ac:dyDescent="0.3">
      <c r="A57" s="9">
        <v>34707</v>
      </c>
      <c r="B57" s="10">
        <v>1.5146197800097575E-2</v>
      </c>
      <c r="C57" s="5">
        <v>8.19</v>
      </c>
      <c r="D57" s="5">
        <v>6.49</v>
      </c>
      <c r="E57" s="5">
        <f t="shared" si="0"/>
        <v>1.6999999999999993</v>
      </c>
      <c r="F57" s="6">
        <v>703.14009999999996</v>
      </c>
      <c r="G57" s="5">
        <v>8.75</v>
      </c>
      <c r="H57" s="7">
        <v>561.88000488281205</v>
      </c>
    </row>
    <row r="58" spans="1:8" x14ac:dyDescent="0.3">
      <c r="A58" s="9">
        <v>34708</v>
      </c>
      <c r="B58" s="10">
        <v>6.3605458124576623E-3</v>
      </c>
      <c r="C58" s="5">
        <v>7.93</v>
      </c>
      <c r="D58" s="5">
        <v>6.2</v>
      </c>
      <c r="E58" s="5">
        <f t="shared" si="0"/>
        <v>1.7299999999999995</v>
      </c>
      <c r="F58" s="6">
        <v>706.23030000000006</v>
      </c>
      <c r="G58" s="5">
        <v>8.75</v>
      </c>
      <c r="H58" s="7">
        <v>584.40997314453102</v>
      </c>
    </row>
    <row r="59" spans="1:8" x14ac:dyDescent="0.3">
      <c r="A59" s="9">
        <v>34709</v>
      </c>
      <c r="B59" s="10">
        <v>0</v>
      </c>
      <c r="C59" s="5">
        <v>7.75</v>
      </c>
      <c r="D59" s="5">
        <v>6.04</v>
      </c>
      <c r="E59" s="5">
        <f t="shared" si="0"/>
        <v>1.71</v>
      </c>
      <c r="F59" s="6">
        <v>706.44510000000002</v>
      </c>
      <c r="G59" s="5">
        <v>8.75</v>
      </c>
      <c r="H59" s="7">
        <v>581.5</v>
      </c>
    </row>
    <row r="60" spans="1:8" x14ac:dyDescent="0.3">
      <c r="A60" s="9">
        <v>34710</v>
      </c>
      <c r="B60" s="10">
        <v>5.1699280768462405E-2</v>
      </c>
      <c r="C60" s="5">
        <v>7.68</v>
      </c>
      <c r="D60" s="5">
        <v>5.93</v>
      </c>
      <c r="E60" s="5">
        <f t="shared" si="0"/>
        <v>1.75</v>
      </c>
      <c r="F60" s="6">
        <v>712.70219999999995</v>
      </c>
      <c r="G60" s="5">
        <v>8.75</v>
      </c>
      <c r="H60" s="7">
        <v>605.36999511718705</v>
      </c>
    </row>
    <row r="61" spans="1:8" x14ac:dyDescent="0.3">
      <c r="A61" s="9">
        <v>34711</v>
      </c>
      <c r="B61" s="10">
        <v>-2.9697125914290912E-2</v>
      </c>
      <c r="C61" s="5">
        <v>7.49</v>
      </c>
      <c r="D61" s="5">
        <v>5.71</v>
      </c>
      <c r="E61" s="5">
        <f t="shared" si="0"/>
        <v>1.7800000000000002</v>
      </c>
      <c r="F61" s="6">
        <v>715.10019999999997</v>
      </c>
      <c r="G61" s="5">
        <v>8.66</v>
      </c>
      <c r="H61" s="7">
        <v>615.92999267578102</v>
      </c>
    </row>
    <row r="62" spans="1:8" x14ac:dyDescent="0.3">
      <c r="A62" s="9">
        <v>35065</v>
      </c>
      <c r="B62" s="10">
        <v>6.7456804819480253E-3</v>
      </c>
      <c r="C62" s="5">
        <v>7.47</v>
      </c>
      <c r="D62" s="5">
        <v>5.65</v>
      </c>
      <c r="E62" s="5">
        <f t="shared" si="0"/>
        <v>1.8199999999999994</v>
      </c>
      <c r="F62" s="6">
        <v>721.72979999999995</v>
      </c>
      <c r="G62" s="5">
        <v>8.5</v>
      </c>
      <c r="H62" s="7">
        <v>636.02001953125</v>
      </c>
    </row>
    <row r="63" spans="1:8" x14ac:dyDescent="0.3">
      <c r="A63" s="9">
        <v>35066</v>
      </c>
      <c r="B63" s="10">
        <v>0</v>
      </c>
      <c r="C63" s="5">
        <v>7.63</v>
      </c>
      <c r="D63" s="5">
        <v>5.81</v>
      </c>
      <c r="E63" s="5">
        <f t="shared" si="0"/>
        <v>1.8200000000000003</v>
      </c>
      <c r="F63" s="6">
        <v>723.94500000000005</v>
      </c>
      <c r="G63" s="5">
        <v>8.25</v>
      </c>
      <c r="H63" s="7">
        <v>640.42999267578102</v>
      </c>
    </row>
    <row r="64" spans="1:8" x14ac:dyDescent="0.3">
      <c r="A64" s="9">
        <v>35067</v>
      </c>
      <c r="B64" s="10">
        <v>1.9122417607037281E-2</v>
      </c>
      <c r="C64" s="5">
        <v>8.0299999999999994</v>
      </c>
      <c r="D64" s="5">
        <v>6.27</v>
      </c>
      <c r="E64" s="5">
        <f t="shared" si="0"/>
        <v>1.7599999999999998</v>
      </c>
      <c r="F64" s="6">
        <v>727.18870000000004</v>
      </c>
      <c r="G64" s="5">
        <v>8.25</v>
      </c>
      <c r="H64" s="7">
        <v>645.5</v>
      </c>
    </row>
    <row r="65" spans="1:8" x14ac:dyDescent="0.3">
      <c r="A65" s="9">
        <v>35068</v>
      </c>
      <c r="B65" s="10">
        <v>0</v>
      </c>
      <c r="C65" s="5">
        <v>8.19</v>
      </c>
      <c r="D65" s="5">
        <v>6.51</v>
      </c>
      <c r="E65" s="5">
        <f t="shared" si="0"/>
        <v>1.6799999999999997</v>
      </c>
      <c r="F65" s="6">
        <v>731.98090000000002</v>
      </c>
      <c r="G65" s="5">
        <v>8.25</v>
      </c>
      <c r="H65" s="7">
        <v>654.16998291015602</v>
      </c>
    </row>
    <row r="66" spans="1:8" x14ac:dyDescent="0.3">
      <c r="A66" s="9">
        <v>35069</v>
      </c>
      <c r="B66" s="10">
        <v>1.3040383092512096E-2</v>
      </c>
      <c r="C66" s="5">
        <v>8.3000000000000007</v>
      </c>
      <c r="D66" s="5">
        <v>6.74</v>
      </c>
      <c r="E66" s="5">
        <f t="shared" si="0"/>
        <v>1.5600000000000005</v>
      </c>
      <c r="F66" s="6">
        <v>736.19809999999995</v>
      </c>
      <c r="G66" s="5">
        <v>8.25</v>
      </c>
      <c r="H66" s="7">
        <v>669.11999511718705</v>
      </c>
    </row>
    <row r="67" spans="1:8" x14ac:dyDescent="0.3">
      <c r="A67" s="9">
        <v>35070</v>
      </c>
      <c r="B67" s="10">
        <v>0</v>
      </c>
      <c r="C67" s="5">
        <v>8.4</v>
      </c>
      <c r="D67" s="5">
        <v>6.91</v>
      </c>
      <c r="E67" s="5">
        <f t="shared" ref="E67:E130" si="1">C67-D67</f>
        <v>1.4900000000000002</v>
      </c>
      <c r="F67" s="6">
        <v>741.30470000000003</v>
      </c>
      <c r="G67" s="5">
        <v>8.25</v>
      </c>
      <c r="H67" s="7">
        <v>670.63000488281205</v>
      </c>
    </row>
    <row r="68" spans="1:8" x14ac:dyDescent="0.3">
      <c r="A68" s="9">
        <v>35071</v>
      </c>
      <c r="B68" s="10">
        <v>-2.7335875966351675E-2</v>
      </c>
      <c r="C68" s="5">
        <v>8.35</v>
      </c>
      <c r="D68" s="5">
        <v>6.87</v>
      </c>
      <c r="E68" s="5">
        <f t="shared" si="1"/>
        <v>1.4799999999999995</v>
      </c>
      <c r="F68" s="6">
        <v>745.20410000000004</v>
      </c>
      <c r="G68" s="5">
        <v>8.25</v>
      </c>
      <c r="H68" s="7">
        <v>639.95001220703102</v>
      </c>
    </row>
    <row r="69" spans="1:8" x14ac:dyDescent="0.3">
      <c r="A69" s="9">
        <v>35072</v>
      </c>
      <c r="B69" s="10">
        <v>1.9660496335842451E-2</v>
      </c>
      <c r="C69" s="5">
        <v>8.18</v>
      </c>
      <c r="D69" s="5">
        <v>6.64</v>
      </c>
      <c r="E69" s="5">
        <f t="shared" si="1"/>
        <v>1.54</v>
      </c>
      <c r="F69" s="6">
        <v>748.19979999999998</v>
      </c>
      <c r="G69" s="5">
        <v>8.25</v>
      </c>
      <c r="H69" s="7">
        <v>651.989990234375</v>
      </c>
    </row>
    <row r="70" spans="1:8" x14ac:dyDescent="0.3">
      <c r="A70" s="9">
        <v>35073</v>
      </c>
      <c r="B70" s="10">
        <v>-0.11654752002185911</v>
      </c>
      <c r="C70" s="5">
        <v>8.35</v>
      </c>
      <c r="D70" s="5">
        <v>6.83</v>
      </c>
      <c r="E70" s="5">
        <f t="shared" si="1"/>
        <v>1.5199999999999996</v>
      </c>
      <c r="F70" s="6">
        <v>758.82399999999996</v>
      </c>
      <c r="G70" s="5">
        <v>8.25</v>
      </c>
      <c r="H70" s="7">
        <v>687.33001708984295</v>
      </c>
    </row>
    <row r="71" spans="1:8" x14ac:dyDescent="0.3">
      <c r="A71" s="9">
        <v>35074</v>
      </c>
      <c r="B71" s="10">
        <v>0</v>
      </c>
      <c r="C71" s="5">
        <v>8.07</v>
      </c>
      <c r="D71" s="5">
        <v>6.53</v>
      </c>
      <c r="E71" s="5">
        <f t="shared" si="1"/>
        <v>1.54</v>
      </c>
      <c r="F71" s="6">
        <v>766.29639999999995</v>
      </c>
      <c r="G71" s="5">
        <v>8.25</v>
      </c>
      <c r="H71" s="7">
        <v>705.27001953125</v>
      </c>
    </row>
    <row r="72" spans="1:8" x14ac:dyDescent="0.3">
      <c r="A72" s="9">
        <v>35075</v>
      </c>
      <c r="B72" s="10">
        <v>-8.1433805577158999E-4</v>
      </c>
      <c r="C72" s="5">
        <v>7.79</v>
      </c>
      <c r="D72" s="5">
        <v>6.2</v>
      </c>
      <c r="E72" s="5">
        <f t="shared" si="1"/>
        <v>1.5899999999999999</v>
      </c>
      <c r="F72" s="6">
        <v>772.1146</v>
      </c>
      <c r="G72" s="5">
        <v>8.25</v>
      </c>
      <c r="H72" s="7">
        <v>757.02001953125</v>
      </c>
    </row>
    <row r="73" spans="1:8" x14ac:dyDescent="0.3">
      <c r="A73" s="9">
        <v>35076</v>
      </c>
      <c r="B73" s="10">
        <v>7.2890343062227848E-3</v>
      </c>
      <c r="C73" s="5">
        <v>7.89</v>
      </c>
      <c r="D73" s="5">
        <v>6.3</v>
      </c>
      <c r="E73" s="5">
        <f t="shared" si="1"/>
        <v>1.5899999999999999</v>
      </c>
      <c r="F73" s="6">
        <v>778.5077</v>
      </c>
      <c r="G73" s="5">
        <v>8.25</v>
      </c>
      <c r="H73" s="7">
        <v>740.739990234375</v>
      </c>
    </row>
    <row r="74" spans="1:8" x14ac:dyDescent="0.3">
      <c r="A74" s="9">
        <v>35431</v>
      </c>
      <c r="B74" s="10">
        <v>0</v>
      </c>
      <c r="C74" s="5">
        <v>8.09</v>
      </c>
      <c r="D74" s="5">
        <v>6.58</v>
      </c>
      <c r="E74" s="5">
        <f t="shared" si="1"/>
        <v>1.5099999999999998</v>
      </c>
      <c r="F74" s="6">
        <v>782.1925</v>
      </c>
      <c r="G74" s="5">
        <v>8.25</v>
      </c>
      <c r="H74" s="7">
        <v>786.15997314453102</v>
      </c>
    </row>
    <row r="75" spans="1:8" x14ac:dyDescent="0.3">
      <c r="A75" s="9">
        <v>35432</v>
      </c>
      <c r="B75" s="10">
        <v>2.2324818024775081E-2</v>
      </c>
      <c r="C75" s="5">
        <v>7.94</v>
      </c>
      <c r="D75" s="5">
        <v>6.42</v>
      </c>
      <c r="E75" s="5">
        <f t="shared" si="1"/>
        <v>1.5200000000000005</v>
      </c>
      <c r="F75" s="6">
        <v>788.93240000000003</v>
      </c>
      <c r="G75" s="5">
        <v>8.25</v>
      </c>
      <c r="H75" s="7">
        <v>790.82000732421795</v>
      </c>
    </row>
    <row r="76" spans="1:8" x14ac:dyDescent="0.3">
      <c r="A76" s="9">
        <v>35433</v>
      </c>
      <c r="B76" s="10">
        <v>6.5340603701470962E-2</v>
      </c>
      <c r="C76" s="5">
        <v>8.18</v>
      </c>
      <c r="D76" s="5">
        <v>6.69</v>
      </c>
      <c r="E76" s="5">
        <f t="shared" si="1"/>
        <v>1.4899999999999993</v>
      </c>
      <c r="F76" s="6">
        <v>795.37819999999999</v>
      </c>
      <c r="G76" s="5">
        <v>8.3000000000000007</v>
      </c>
      <c r="H76" s="7">
        <v>757.11999511718705</v>
      </c>
    </row>
    <row r="77" spans="1:8" x14ac:dyDescent="0.3">
      <c r="A77" s="9">
        <v>35434</v>
      </c>
      <c r="B77" s="10">
        <v>0</v>
      </c>
      <c r="C77" s="5">
        <v>8.34</v>
      </c>
      <c r="D77" s="5">
        <v>6.89</v>
      </c>
      <c r="E77" s="5">
        <f t="shared" si="1"/>
        <v>1.4500000000000002</v>
      </c>
      <c r="F77" s="6">
        <v>803.80420000000004</v>
      </c>
      <c r="G77" s="5">
        <v>8.5</v>
      </c>
      <c r="H77" s="7">
        <v>801.34002685546795</v>
      </c>
    </row>
    <row r="78" spans="1:8" x14ac:dyDescent="0.3">
      <c r="A78" s="9">
        <v>35435</v>
      </c>
      <c r="B78" s="10">
        <v>-2.5633634545902902E-2</v>
      </c>
      <c r="C78" s="5">
        <v>8.1999999999999993</v>
      </c>
      <c r="D78" s="5">
        <v>6.71</v>
      </c>
      <c r="E78" s="5">
        <f t="shared" si="1"/>
        <v>1.4899999999999993</v>
      </c>
      <c r="F78" s="6">
        <v>808.97360000000003</v>
      </c>
      <c r="G78" s="5">
        <v>8.5</v>
      </c>
      <c r="H78" s="7">
        <v>848.280029296875</v>
      </c>
    </row>
    <row r="79" spans="1:8" x14ac:dyDescent="0.3">
      <c r="A79" s="9">
        <v>35436</v>
      </c>
      <c r="B79" s="10">
        <v>0</v>
      </c>
      <c r="C79" s="5">
        <v>8.02</v>
      </c>
      <c r="D79" s="5">
        <v>6.49</v>
      </c>
      <c r="E79" s="5">
        <f t="shared" si="1"/>
        <v>1.5299999999999994</v>
      </c>
      <c r="F79" s="6">
        <v>813.39840000000004</v>
      </c>
      <c r="G79" s="5">
        <v>8.5</v>
      </c>
      <c r="H79" s="7">
        <v>885.14001464843705</v>
      </c>
    </row>
    <row r="80" spans="1:8" x14ac:dyDescent="0.3">
      <c r="A80" s="9">
        <v>35437</v>
      </c>
      <c r="B80" s="10">
        <v>-7.5486180495305515E-3</v>
      </c>
      <c r="C80" s="5">
        <v>7.75</v>
      </c>
      <c r="D80" s="5">
        <v>6.22</v>
      </c>
      <c r="E80" s="5">
        <f t="shared" si="1"/>
        <v>1.5300000000000002</v>
      </c>
      <c r="F80" s="6">
        <v>816.71289999999999</v>
      </c>
      <c r="G80" s="5">
        <v>8.5</v>
      </c>
      <c r="H80" s="7">
        <v>954.30999755859295</v>
      </c>
    </row>
    <row r="81" spans="1:8" x14ac:dyDescent="0.3">
      <c r="A81" s="9">
        <v>35438</v>
      </c>
      <c r="B81" s="10">
        <v>1.6352553327169273E-2</v>
      </c>
      <c r="C81" s="5">
        <v>7.82</v>
      </c>
      <c r="D81" s="5">
        <v>6.3</v>
      </c>
      <c r="E81" s="5">
        <f t="shared" si="1"/>
        <v>1.5200000000000005</v>
      </c>
      <c r="F81" s="6">
        <v>822.91570000000002</v>
      </c>
      <c r="G81" s="5">
        <v>8.5</v>
      </c>
      <c r="H81" s="7">
        <v>899.469970703125</v>
      </c>
    </row>
    <row r="82" spans="1:8" x14ac:dyDescent="0.3">
      <c r="A82" s="9">
        <v>35439</v>
      </c>
      <c r="B82" s="10">
        <v>8.1466723147978135E-3</v>
      </c>
      <c r="C82" s="5">
        <v>7.7</v>
      </c>
      <c r="D82" s="5">
        <v>6.21</v>
      </c>
      <c r="E82" s="5">
        <f t="shared" si="1"/>
        <v>1.4900000000000002</v>
      </c>
      <c r="F82" s="6">
        <v>830.32569999999998</v>
      </c>
      <c r="G82" s="5">
        <v>8.5</v>
      </c>
      <c r="H82" s="7">
        <v>947.280029296875</v>
      </c>
    </row>
    <row r="83" spans="1:8" x14ac:dyDescent="0.3">
      <c r="A83" s="9">
        <v>35440</v>
      </c>
      <c r="B83" s="10">
        <v>0</v>
      </c>
      <c r="C83" s="5">
        <v>7.57</v>
      </c>
      <c r="D83" s="5">
        <v>6.03</v>
      </c>
      <c r="E83" s="5">
        <f t="shared" si="1"/>
        <v>1.54</v>
      </c>
      <c r="F83" s="6">
        <v>834.45860000000005</v>
      </c>
      <c r="G83" s="5">
        <v>8.5</v>
      </c>
      <c r="H83" s="7">
        <v>914.61999511718705</v>
      </c>
    </row>
    <row r="84" spans="1:8" x14ac:dyDescent="0.3">
      <c r="A84" s="9">
        <v>35441</v>
      </c>
      <c r="B84" s="10">
        <v>5.2901682862592243E-3</v>
      </c>
      <c r="C84" s="5">
        <v>7.42</v>
      </c>
      <c r="D84" s="5">
        <v>5.88</v>
      </c>
      <c r="E84" s="5">
        <f t="shared" si="1"/>
        <v>1.54</v>
      </c>
      <c r="F84" s="6">
        <v>839.89710000000002</v>
      </c>
      <c r="G84" s="5">
        <v>8.5</v>
      </c>
      <c r="H84" s="7">
        <v>955.40002441406205</v>
      </c>
    </row>
    <row r="85" spans="1:8" x14ac:dyDescent="0.3">
      <c r="A85" s="9">
        <v>35442</v>
      </c>
      <c r="B85" s="10">
        <v>-1.3567880599384199E-2</v>
      </c>
      <c r="C85" s="5">
        <v>7.32</v>
      </c>
      <c r="D85" s="5">
        <v>5.81</v>
      </c>
      <c r="E85" s="5">
        <f t="shared" si="1"/>
        <v>1.5100000000000007</v>
      </c>
      <c r="F85" s="6">
        <v>844.83640000000003</v>
      </c>
      <c r="G85" s="5">
        <v>8.5</v>
      </c>
      <c r="H85" s="7">
        <v>970.42999267578102</v>
      </c>
    </row>
    <row r="86" spans="1:8" x14ac:dyDescent="0.3">
      <c r="A86" s="9">
        <v>35796</v>
      </c>
      <c r="B86" s="10">
        <v>0</v>
      </c>
      <c r="C86" s="5">
        <v>7.19</v>
      </c>
      <c r="D86" s="5">
        <v>5.54</v>
      </c>
      <c r="E86" s="5">
        <f t="shared" si="1"/>
        <v>1.6500000000000004</v>
      </c>
      <c r="F86" s="6">
        <v>855.31529999999998</v>
      </c>
      <c r="G86" s="5">
        <v>8.5</v>
      </c>
      <c r="H86" s="7">
        <v>980.280029296875</v>
      </c>
    </row>
    <row r="87" spans="1:8" x14ac:dyDescent="0.3">
      <c r="A87" s="9">
        <v>35797</v>
      </c>
      <c r="B87" s="10">
        <v>2.2142400545669919E-2</v>
      </c>
      <c r="C87" s="5">
        <v>7.25</v>
      </c>
      <c r="D87" s="5">
        <v>5.57</v>
      </c>
      <c r="E87" s="5">
        <f t="shared" si="1"/>
        <v>1.6799999999999997</v>
      </c>
      <c r="F87" s="6">
        <v>862.09739999999999</v>
      </c>
      <c r="G87" s="5">
        <v>8.5</v>
      </c>
      <c r="H87" s="7">
        <v>1049.33996582031</v>
      </c>
    </row>
    <row r="88" spans="1:8" x14ac:dyDescent="0.3">
      <c r="A88" s="9">
        <v>35798</v>
      </c>
      <c r="B88" s="10">
        <v>2.1460376617877721E-3</v>
      </c>
      <c r="C88" s="5">
        <v>7.32</v>
      </c>
      <c r="D88" s="5">
        <v>5.65</v>
      </c>
      <c r="E88" s="5">
        <f t="shared" si="1"/>
        <v>1.67</v>
      </c>
      <c r="F88" s="6">
        <v>865.79960000000005</v>
      </c>
      <c r="G88" s="5">
        <v>8.5</v>
      </c>
      <c r="H88" s="7">
        <v>1101.75</v>
      </c>
    </row>
    <row r="89" spans="1:8" x14ac:dyDescent="0.3">
      <c r="A89" s="9">
        <v>35799</v>
      </c>
      <c r="B89" s="10">
        <v>0</v>
      </c>
      <c r="C89" s="5">
        <v>7.33</v>
      </c>
      <c r="D89" s="5">
        <v>5.64</v>
      </c>
      <c r="E89" s="5">
        <f t="shared" si="1"/>
        <v>1.6900000000000004</v>
      </c>
      <c r="F89" s="6">
        <v>864.29880000000003</v>
      </c>
      <c r="G89" s="5">
        <v>8.5</v>
      </c>
      <c r="H89" s="7">
        <v>1111.75</v>
      </c>
    </row>
    <row r="90" spans="1:8" x14ac:dyDescent="0.3">
      <c r="A90" s="9">
        <v>35800</v>
      </c>
      <c r="B90" s="10">
        <v>1.7444849893012645E-2</v>
      </c>
      <c r="C90" s="5">
        <v>7.3</v>
      </c>
      <c r="D90" s="5">
        <v>5.65</v>
      </c>
      <c r="E90" s="5">
        <f t="shared" si="1"/>
        <v>1.6499999999999995</v>
      </c>
      <c r="F90" s="6">
        <v>875.65179999999998</v>
      </c>
      <c r="G90" s="5">
        <v>8.5</v>
      </c>
      <c r="H90" s="7">
        <v>1090.81994628906</v>
      </c>
    </row>
    <row r="91" spans="1:8" x14ac:dyDescent="0.3">
      <c r="A91" s="9">
        <v>35801</v>
      </c>
      <c r="B91" s="10">
        <v>0</v>
      </c>
      <c r="C91" s="5">
        <v>7.13</v>
      </c>
      <c r="D91" s="5">
        <v>5.5</v>
      </c>
      <c r="E91" s="5">
        <f t="shared" si="1"/>
        <v>1.63</v>
      </c>
      <c r="F91" s="6">
        <v>891.15</v>
      </c>
      <c r="G91" s="5">
        <v>8.5</v>
      </c>
      <c r="H91" s="7">
        <v>1133.83996582031</v>
      </c>
    </row>
    <row r="92" spans="1:8" x14ac:dyDescent="0.3">
      <c r="A92" s="9">
        <v>35802</v>
      </c>
      <c r="B92" s="10">
        <v>1.9531174533033678E-2</v>
      </c>
      <c r="C92" s="5">
        <v>7.15</v>
      </c>
      <c r="D92" s="5">
        <v>5.46</v>
      </c>
      <c r="E92" s="5">
        <f t="shared" si="1"/>
        <v>1.6900000000000004</v>
      </c>
      <c r="F92" s="6">
        <v>897.86080000000004</v>
      </c>
      <c r="G92" s="5">
        <v>8.5</v>
      </c>
      <c r="H92" s="7">
        <v>1120.67004394531</v>
      </c>
    </row>
    <row r="93" spans="1:8" x14ac:dyDescent="0.3">
      <c r="A93" s="9">
        <v>35803</v>
      </c>
      <c r="B93" s="10">
        <v>1.7153979713041206E-2</v>
      </c>
      <c r="C93" s="5">
        <v>7.14</v>
      </c>
      <c r="D93" s="5">
        <v>5.34</v>
      </c>
      <c r="E93" s="5">
        <f t="shared" si="1"/>
        <v>1.7999999999999998</v>
      </c>
      <c r="F93" s="6">
        <v>904.35709999999995</v>
      </c>
      <c r="G93" s="5">
        <v>8.5</v>
      </c>
      <c r="H93" s="7">
        <v>957.280029296875</v>
      </c>
    </row>
    <row r="94" spans="1:8" x14ac:dyDescent="0.3">
      <c r="A94" s="9">
        <v>35804</v>
      </c>
      <c r="B94" s="10">
        <v>5.2364990393073955E-2</v>
      </c>
      <c r="C94" s="5">
        <v>7.09</v>
      </c>
      <c r="D94" s="5">
        <v>4.8099999999999996</v>
      </c>
      <c r="E94" s="5">
        <f t="shared" si="1"/>
        <v>2.2800000000000002</v>
      </c>
      <c r="F94" s="6">
        <v>912.82989999999995</v>
      </c>
      <c r="G94" s="5">
        <v>8.49</v>
      </c>
      <c r="H94" s="7">
        <v>1017.01000976562</v>
      </c>
    </row>
    <row r="95" spans="1:8" x14ac:dyDescent="0.3">
      <c r="A95" s="9">
        <v>35805</v>
      </c>
      <c r="B95" s="10">
        <v>-0.25548414542966019</v>
      </c>
      <c r="C95" s="5">
        <v>7.18</v>
      </c>
      <c r="D95" s="5">
        <v>4.53</v>
      </c>
      <c r="E95" s="5">
        <f t="shared" si="1"/>
        <v>2.6499999999999995</v>
      </c>
      <c r="F95" s="6">
        <v>932.11059999999998</v>
      </c>
      <c r="G95" s="5">
        <v>8.1199999999999992</v>
      </c>
      <c r="H95" s="7">
        <v>1098.67004394531</v>
      </c>
    </row>
    <row r="96" spans="1:8" x14ac:dyDescent="0.3">
      <c r="A96" s="9">
        <v>35806</v>
      </c>
      <c r="B96" s="10">
        <v>-1.1415166748508312E-2</v>
      </c>
      <c r="C96" s="5">
        <v>7.34</v>
      </c>
      <c r="D96" s="5">
        <v>4.83</v>
      </c>
      <c r="E96" s="5">
        <f t="shared" si="1"/>
        <v>2.5099999999999998</v>
      </c>
      <c r="F96" s="6">
        <v>942.2355</v>
      </c>
      <c r="G96" s="5">
        <v>7.89</v>
      </c>
      <c r="H96" s="7">
        <v>1163.63000488281</v>
      </c>
    </row>
    <row r="97" spans="1:8" x14ac:dyDescent="0.3">
      <c r="A97" s="9">
        <v>35807</v>
      </c>
      <c r="B97" s="10">
        <v>-6.2868781282017117E-2</v>
      </c>
      <c r="C97" s="5">
        <v>7.23</v>
      </c>
      <c r="D97" s="5">
        <v>4.6500000000000004</v>
      </c>
      <c r="E97" s="5">
        <f t="shared" si="1"/>
        <v>2.58</v>
      </c>
      <c r="F97" s="6">
        <v>938.79089999999997</v>
      </c>
      <c r="G97" s="5">
        <v>7.75</v>
      </c>
      <c r="H97" s="7">
        <v>1229.22998046875</v>
      </c>
    </row>
    <row r="98" spans="1:8" x14ac:dyDescent="0.3">
      <c r="A98" s="9">
        <v>36161</v>
      </c>
      <c r="B98" s="10">
        <v>0</v>
      </c>
      <c r="C98" s="5">
        <v>7.29</v>
      </c>
      <c r="D98" s="5">
        <v>4.72</v>
      </c>
      <c r="E98" s="5">
        <f t="shared" si="1"/>
        <v>2.5700000000000003</v>
      </c>
      <c r="F98" s="6">
        <v>937.40629999999999</v>
      </c>
      <c r="G98" s="5">
        <v>7.75</v>
      </c>
      <c r="H98" s="7">
        <v>1279.64001464843</v>
      </c>
    </row>
    <row r="99" spans="1:8" x14ac:dyDescent="0.3">
      <c r="A99" s="9">
        <v>36162</v>
      </c>
      <c r="B99" s="10">
        <v>3.8276011836066687E-2</v>
      </c>
      <c r="C99" s="5">
        <v>7.39</v>
      </c>
      <c r="D99" s="5">
        <v>5</v>
      </c>
      <c r="E99" s="5">
        <f t="shared" si="1"/>
        <v>2.3899999999999997</v>
      </c>
      <c r="F99" s="6">
        <v>935.61720000000003</v>
      </c>
      <c r="G99" s="5">
        <v>7.75</v>
      </c>
      <c r="H99" s="7">
        <v>1238.32995605468</v>
      </c>
    </row>
    <row r="100" spans="1:8" x14ac:dyDescent="0.3">
      <c r="A100" s="9">
        <v>36163</v>
      </c>
      <c r="B100" s="10">
        <v>-3.0817483088870057E-2</v>
      </c>
      <c r="C100" s="5">
        <v>7.53</v>
      </c>
      <c r="D100" s="5">
        <v>5.23</v>
      </c>
      <c r="E100" s="5">
        <f t="shared" si="1"/>
        <v>2.2999999999999998</v>
      </c>
      <c r="F100" s="6">
        <v>944.23630000000003</v>
      </c>
      <c r="G100" s="5">
        <v>7.75</v>
      </c>
      <c r="H100" s="7">
        <v>1286.36999511718</v>
      </c>
    </row>
    <row r="101" spans="1:8" x14ac:dyDescent="0.3">
      <c r="A101" s="9">
        <v>36164</v>
      </c>
      <c r="B101" s="10">
        <v>0</v>
      </c>
      <c r="C101" s="5">
        <v>7.48</v>
      </c>
      <c r="D101" s="5">
        <v>5.18</v>
      </c>
      <c r="E101" s="5">
        <f t="shared" si="1"/>
        <v>2.3000000000000007</v>
      </c>
      <c r="F101" s="6">
        <v>947.18709999999999</v>
      </c>
      <c r="G101" s="5">
        <v>7.75</v>
      </c>
      <c r="H101" s="7">
        <v>1335.18005371093</v>
      </c>
    </row>
    <row r="102" spans="1:8" x14ac:dyDescent="0.3">
      <c r="A102" s="9">
        <v>36165</v>
      </c>
      <c r="B102" s="10">
        <v>7.0229410346147644E-2</v>
      </c>
      <c r="C102" s="5">
        <v>7.72</v>
      </c>
      <c r="D102" s="5">
        <v>5.54</v>
      </c>
      <c r="E102" s="5">
        <f t="shared" si="1"/>
        <v>2.1799999999999997</v>
      </c>
      <c r="F102" s="6">
        <v>942.08069999999998</v>
      </c>
      <c r="G102" s="5">
        <v>7.75</v>
      </c>
      <c r="H102" s="7">
        <v>1301.83996582031</v>
      </c>
    </row>
    <row r="103" spans="1:8" x14ac:dyDescent="0.3">
      <c r="A103" s="9">
        <v>36166</v>
      </c>
      <c r="B103" s="10">
        <v>-6.7037176789657649E-2</v>
      </c>
      <c r="C103" s="5">
        <v>8.02</v>
      </c>
      <c r="D103" s="5">
        <v>5.9</v>
      </c>
      <c r="E103" s="5">
        <f t="shared" si="1"/>
        <v>2.1199999999999992</v>
      </c>
      <c r="F103" s="6">
        <v>949.80250000000001</v>
      </c>
      <c r="G103" s="5">
        <v>7.75</v>
      </c>
      <c r="H103" s="7">
        <v>1372.7099609375</v>
      </c>
    </row>
    <row r="104" spans="1:8" x14ac:dyDescent="0.3">
      <c r="A104" s="9">
        <v>36167</v>
      </c>
      <c r="B104" s="10">
        <v>0</v>
      </c>
      <c r="C104" s="5">
        <v>7.95</v>
      </c>
      <c r="D104" s="5">
        <v>5.79</v>
      </c>
      <c r="E104" s="5">
        <f t="shared" si="1"/>
        <v>2.16</v>
      </c>
      <c r="F104" s="6">
        <v>958.63819999999998</v>
      </c>
      <c r="G104" s="5">
        <v>8</v>
      </c>
      <c r="H104" s="7">
        <v>1328.71997070312</v>
      </c>
    </row>
    <row r="105" spans="1:8" x14ac:dyDescent="0.3">
      <c r="A105" s="9">
        <v>36168</v>
      </c>
      <c r="B105" s="10">
        <v>-3.0163893666056273E-3</v>
      </c>
      <c r="C105" s="5">
        <v>8.15</v>
      </c>
      <c r="D105" s="5">
        <v>5.94</v>
      </c>
      <c r="E105" s="5">
        <f t="shared" si="1"/>
        <v>2.21</v>
      </c>
      <c r="F105" s="6">
        <v>969.38070000000005</v>
      </c>
      <c r="G105" s="5">
        <v>8.06</v>
      </c>
      <c r="H105" s="7">
        <v>1320.41003417968</v>
      </c>
    </row>
    <row r="106" spans="1:8" x14ac:dyDescent="0.3">
      <c r="A106" s="9">
        <v>36169</v>
      </c>
      <c r="B106" s="10">
        <v>0</v>
      </c>
      <c r="C106" s="5">
        <v>8.1999999999999993</v>
      </c>
      <c r="D106" s="5">
        <v>5.92</v>
      </c>
      <c r="E106" s="5">
        <f t="shared" si="1"/>
        <v>2.2799999999999994</v>
      </c>
      <c r="F106" s="6">
        <v>975.63990000000001</v>
      </c>
      <c r="G106" s="5">
        <v>8.25</v>
      </c>
      <c r="H106" s="7">
        <v>1282.7099609375</v>
      </c>
    </row>
    <row r="107" spans="1:8" x14ac:dyDescent="0.3">
      <c r="A107" s="9">
        <v>36170</v>
      </c>
      <c r="B107" s="10">
        <v>2.5829748483706359E-2</v>
      </c>
      <c r="C107" s="5">
        <v>8.3800000000000008</v>
      </c>
      <c r="D107" s="5">
        <v>6.11</v>
      </c>
      <c r="E107" s="5">
        <f t="shared" si="1"/>
        <v>2.2700000000000005</v>
      </c>
      <c r="F107" s="6">
        <v>979.09829999999999</v>
      </c>
      <c r="G107" s="5">
        <v>8.25</v>
      </c>
      <c r="H107" s="7">
        <v>1362.93005371093</v>
      </c>
    </row>
    <row r="108" spans="1:8" x14ac:dyDescent="0.3">
      <c r="A108" s="9">
        <v>36171</v>
      </c>
      <c r="B108" s="10">
        <v>8.6632368216152889E-2</v>
      </c>
      <c r="C108" s="5">
        <v>8.15</v>
      </c>
      <c r="D108" s="5">
        <v>6.03</v>
      </c>
      <c r="E108" s="5">
        <f t="shared" si="1"/>
        <v>2.12</v>
      </c>
      <c r="F108" s="6">
        <v>1000.2986</v>
      </c>
      <c r="G108" s="5">
        <v>8.36</v>
      </c>
      <c r="H108" s="7">
        <v>1388.91003417968</v>
      </c>
    </row>
    <row r="109" spans="1:8" x14ac:dyDescent="0.3">
      <c r="A109" s="9">
        <v>36172</v>
      </c>
      <c r="B109" s="10">
        <v>-1.1580440677908324E-4</v>
      </c>
      <c r="C109" s="5">
        <v>8.19</v>
      </c>
      <c r="D109" s="5">
        <v>6.28</v>
      </c>
      <c r="E109" s="5">
        <f t="shared" si="1"/>
        <v>1.9099999999999993</v>
      </c>
      <c r="F109" s="6">
        <v>1000.6226</v>
      </c>
      <c r="G109" s="5">
        <v>8.5</v>
      </c>
      <c r="H109" s="7">
        <v>1469.25</v>
      </c>
    </row>
    <row r="110" spans="1:8" x14ac:dyDescent="0.3">
      <c r="A110" s="9">
        <v>36526</v>
      </c>
      <c r="B110" s="10">
        <v>0</v>
      </c>
      <c r="C110" s="5">
        <v>8.33</v>
      </c>
      <c r="D110" s="5">
        <v>6.66</v>
      </c>
      <c r="E110" s="5">
        <f t="shared" si="1"/>
        <v>1.67</v>
      </c>
      <c r="F110" s="6">
        <v>1003.1482</v>
      </c>
      <c r="G110" s="5">
        <v>8.5</v>
      </c>
      <c r="H110" s="7">
        <v>1394.4599609375</v>
      </c>
    </row>
    <row r="111" spans="1:8" x14ac:dyDescent="0.3">
      <c r="A111" s="9">
        <v>36527</v>
      </c>
      <c r="B111" s="10">
        <v>7.3881028869800056E-3</v>
      </c>
      <c r="C111" s="5">
        <v>8.2899999999999991</v>
      </c>
      <c r="D111" s="5">
        <v>6.52</v>
      </c>
      <c r="E111" s="5">
        <f t="shared" si="1"/>
        <v>1.7699999999999996</v>
      </c>
      <c r="F111" s="6">
        <v>1016.2395</v>
      </c>
      <c r="G111" s="5">
        <v>8.73</v>
      </c>
      <c r="H111" s="7">
        <v>1366.42004394531</v>
      </c>
    </row>
    <row r="112" spans="1:8" x14ac:dyDescent="0.3">
      <c r="A112" s="9">
        <v>36528</v>
      </c>
      <c r="B112" s="10">
        <v>-3.5516040109962288E-2</v>
      </c>
      <c r="C112" s="5">
        <v>8.3699999999999992</v>
      </c>
      <c r="D112" s="5">
        <v>6.26</v>
      </c>
      <c r="E112" s="5">
        <f t="shared" si="1"/>
        <v>2.1099999999999994</v>
      </c>
      <c r="F112" s="6">
        <v>1026.2416000000001</v>
      </c>
      <c r="G112" s="5">
        <v>8.84</v>
      </c>
      <c r="H112" s="7">
        <v>1498.57995605468</v>
      </c>
    </row>
    <row r="113" spans="1:8" x14ac:dyDescent="0.3">
      <c r="A113" s="9">
        <v>36529</v>
      </c>
      <c r="B113" s="10">
        <v>0</v>
      </c>
      <c r="C113" s="5">
        <v>8.4</v>
      </c>
      <c r="D113" s="5">
        <v>5.99</v>
      </c>
      <c r="E113" s="5">
        <f t="shared" si="1"/>
        <v>2.41</v>
      </c>
      <c r="F113" s="6">
        <v>1035.2058</v>
      </c>
      <c r="G113" s="5">
        <v>9</v>
      </c>
      <c r="H113" s="7">
        <v>1452.43005371093</v>
      </c>
    </row>
    <row r="114" spans="1:8" x14ac:dyDescent="0.3">
      <c r="A114" s="9">
        <v>36530</v>
      </c>
      <c r="B114" s="10">
        <v>4.5601329067381263E-2</v>
      </c>
      <c r="C114" s="5">
        <v>8.9</v>
      </c>
      <c r="D114" s="5">
        <v>6.44</v>
      </c>
      <c r="E114" s="5">
        <f t="shared" si="1"/>
        <v>2.46</v>
      </c>
      <c r="F114" s="6">
        <v>1051.7891</v>
      </c>
      <c r="G114" s="5">
        <v>9.23</v>
      </c>
      <c r="H114" s="7">
        <v>1420.59997558593</v>
      </c>
    </row>
    <row r="115" spans="1:8" x14ac:dyDescent="0.3">
      <c r="A115" s="9">
        <v>36531</v>
      </c>
      <c r="B115" s="10">
        <v>-1.5823984454893136E-2</v>
      </c>
      <c r="C115" s="5">
        <v>8.48</v>
      </c>
      <c r="D115" s="5">
        <v>6.1</v>
      </c>
      <c r="E115" s="5">
        <f t="shared" si="1"/>
        <v>2.3800000000000008</v>
      </c>
      <c r="F115" s="6">
        <v>1062.7574</v>
      </c>
      <c r="G115" s="5">
        <v>9.5</v>
      </c>
      <c r="H115" s="7">
        <v>1454.59997558593</v>
      </c>
    </row>
    <row r="116" spans="1:8" x14ac:dyDescent="0.3">
      <c r="A116" s="9">
        <v>36532</v>
      </c>
      <c r="B116" s="10">
        <v>0</v>
      </c>
      <c r="C116" s="5">
        <v>8.35</v>
      </c>
      <c r="D116" s="5">
        <v>6.05</v>
      </c>
      <c r="E116" s="5">
        <f t="shared" si="1"/>
        <v>2.2999999999999998</v>
      </c>
      <c r="F116" s="6">
        <v>1068.6388999999999</v>
      </c>
      <c r="G116" s="5">
        <v>9.5</v>
      </c>
      <c r="H116" s="7">
        <v>1430.82995605468</v>
      </c>
    </row>
    <row r="117" spans="1:8" x14ac:dyDescent="0.3">
      <c r="A117" s="9">
        <v>36533</v>
      </c>
      <c r="B117" s="10">
        <v>1.6562150569906259E-2</v>
      </c>
      <c r="C117" s="5">
        <v>8.26</v>
      </c>
      <c r="D117" s="5">
        <v>5.83</v>
      </c>
      <c r="E117" s="5">
        <f t="shared" si="1"/>
        <v>2.4299999999999997</v>
      </c>
      <c r="F117" s="6">
        <v>1071.8339000000001</v>
      </c>
      <c r="G117" s="5">
        <v>9.5</v>
      </c>
      <c r="H117" s="7">
        <v>1517.68005371093</v>
      </c>
    </row>
    <row r="118" spans="1:8" x14ac:dyDescent="0.3">
      <c r="A118" s="9">
        <v>36534</v>
      </c>
      <c r="B118" s="10">
        <v>0</v>
      </c>
      <c r="C118" s="5">
        <v>8.35</v>
      </c>
      <c r="D118" s="5">
        <v>5.8</v>
      </c>
      <c r="E118" s="5">
        <f t="shared" si="1"/>
        <v>2.5499999999999998</v>
      </c>
      <c r="F118" s="6">
        <v>1073.3289</v>
      </c>
      <c r="G118" s="5">
        <v>9.5</v>
      </c>
      <c r="H118" s="7">
        <v>1436.51000976562</v>
      </c>
    </row>
    <row r="119" spans="1:8" x14ac:dyDescent="0.3">
      <c r="A119" s="9">
        <v>36535</v>
      </c>
      <c r="B119" s="10">
        <v>5.3348701131919557E-2</v>
      </c>
      <c r="C119" s="5">
        <v>8.34</v>
      </c>
      <c r="D119" s="5">
        <v>5.74</v>
      </c>
      <c r="E119" s="5">
        <f t="shared" si="1"/>
        <v>2.5999999999999996</v>
      </c>
      <c r="F119" s="6">
        <v>1078.8326</v>
      </c>
      <c r="G119" s="5">
        <v>9.5</v>
      </c>
      <c r="H119" s="7">
        <v>1429.40002441406</v>
      </c>
    </row>
    <row r="120" spans="1:8" x14ac:dyDescent="0.3">
      <c r="A120" s="9">
        <v>36536</v>
      </c>
      <c r="B120" s="10">
        <v>7.6675435249303672E-3</v>
      </c>
      <c r="C120" s="5">
        <v>8.2799999999999994</v>
      </c>
      <c r="D120" s="5">
        <v>5.72</v>
      </c>
      <c r="E120" s="5">
        <f t="shared" si="1"/>
        <v>2.5599999999999996</v>
      </c>
      <c r="F120" s="6">
        <v>1080.5634</v>
      </c>
      <c r="G120" s="5">
        <v>9.5</v>
      </c>
      <c r="H120" s="7">
        <v>1314.94995117187</v>
      </c>
    </row>
    <row r="121" spans="1:8" x14ac:dyDescent="0.3">
      <c r="A121" s="9">
        <v>36537</v>
      </c>
      <c r="B121" s="10">
        <v>2.1709058371161608E-2</v>
      </c>
      <c r="C121" s="5">
        <v>8.02</v>
      </c>
      <c r="D121" s="5">
        <v>5.24</v>
      </c>
      <c r="E121" s="5">
        <f t="shared" si="1"/>
        <v>2.7799999999999994</v>
      </c>
      <c r="F121" s="6">
        <v>1084.8969</v>
      </c>
      <c r="G121" s="5">
        <v>9.5</v>
      </c>
      <c r="H121" s="7">
        <v>1320.28002929687</v>
      </c>
    </row>
    <row r="122" spans="1:8" x14ac:dyDescent="0.3">
      <c r="A122" s="9">
        <v>36892</v>
      </c>
      <c r="B122" s="10">
        <v>-4.8510829020474239E-2</v>
      </c>
      <c r="C122" s="5">
        <v>7.93</v>
      </c>
      <c r="D122" s="5">
        <v>5.16</v>
      </c>
      <c r="E122" s="5">
        <f t="shared" si="1"/>
        <v>2.7699999999999996</v>
      </c>
      <c r="F122" s="6">
        <v>1093.6156000000001</v>
      </c>
      <c r="G122" s="5">
        <v>9.0500000000000007</v>
      </c>
      <c r="H122" s="7">
        <v>1366.01000976562</v>
      </c>
    </row>
    <row r="123" spans="1:8" x14ac:dyDescent="0.3">
      <c r="A123" s="9">
        <v>36893</v>
      </c>
      <c r="B123" s="10">
        <v>0</v>
      </c>
      <c r="C123" s="5">
        <v>7.87</v>
      </c>
      <c r="D123" s="5">
        <v>5.0999999999999996</v>
      </c>
      <c r="E123" s="5">
        <f t="shared" si="1"/>
        <v>2.7700000000000005</v>
      </c>
      <c r="F123" s="6">
        <v>1093.8498</v>
      </c>
      <c r="G123" s="5">
        <v>8.5</v>
      </c>
      <c r="H123" s="7">
        <v>1239.93994140625</v>
      </c>
    </row>
    <row r="124" spans="1:8" x14ac:dyDescent="0.3">
      <c r="A124" s="9">
        <v>36894</v>
      </c>
      <c r="B124" s="10">
        <v>-5.5026704080433593E-2</v>
      </c>
      <c r="C124" s="5">
        <v>7.84</v>
      </c>
      <c r="D124" s="5">
        <v>4.8899999999999997</v>
      </c>
      <c r="E124" s="5">
        <f t="shared" si="1"/>
        <v>2.95</v>
      </c>
      <c r="F124" s="6">
        <v>1092.1973</v>
      </c>
      <c r="G124" s="5">
        <v>8.32</v>
      </c>
      <c r="H124" s="7">
        <v>1160.32995605468</v>
      </c>
    </row>
    <row r="125" spans="1:8" x14ac:dyDescent="0.3">
      <c r="A125" s="9">
        <v>36895</v>
      </c>
      <c r="B125" s="10">
        <v>-0.34261864066581643</v>
      </c>
      <c r="C125" s="5">
        <v>8.07</v>
      </c>
      <c r="D125" s="5">
        <v>5.14</v>
      </c>
      <c r="E125" s="5">
        <f t="shared" si="1"/>
        <v>2.9300000000000006</v>
      </c>
      <c r="F125" s="6">
        <v>1089.2748999999999</v>
      </c>
      <c r="G125" s="5">
        <v>7.81</v>
      </c>
      <c r="H125" s="7">
        <v>1249.4599609375</v>
      </c>
    </row>
    <row r="126" spans="1:8" x14ac:dyDescent="0.3">
      <c r="A126" s="9">
        <v>36896</v>
      </c>
      <c r="B126" s="10">
        <v>-0.11937532518732794</v>
      </c>
      <c r="C126" s="5">
        <v>8.07</v>
      </c>
      <c r="D126" s="5">
        <v>5.39</v>
      </c>
      <c r="E126" s="5">
        <f t="shared" si="1"/>
        <v>2.6800000000000006</v>
      </c>
      <c r="F126" s="6">
        <v>1083.9579000000001</v>
      </c>
      <c r="G126" s="5">
        <v>7.25</v>
      </c>
      <c r="H126" s="7">
        <v>1255.81994628906</v>
      </c>
    </row>
    <row r="127" spans="1:8" x14ac:dyDescent="0.3">
      <c r="A127" s="9">
        <v>36897</v>
      </c>
      <c r="B127" s="10">
        <v>3.3449736207464303E-2</v>
      </c>
      <c r="C127" s="5">
        <v>7.97</v>
      </c>
      <c r="D127" s="5">
        <v>5.28</v>
      </c>
      <c r="E127" s="5">
        <f t="shared" si="1"/>
        <v>2.6899999999999995</v>
      </c>
      <c r="F127" s="6">
        <v>1071.9119000000001</v>
      </c>
      <c r="G127" s="5">
        <v>6.98</v>
      </c>
      <c r="H127" s="7">
        <v>1224.38000488281</v>
      </c>
    </row>
    <row r="128" spans="1:8" x14ac:dyDescent="0.3">
      <c r="A128" s="9">
        <v>36898</v>
      </c>
      <c r="B128" s="10">
        <v>0</v>
      </c>
      <c r="C128" s="5">
        <v>7.97</v>
      </c>
      <c r="D128" s="5">
        <v>5.24</v>
      </c>
      <c r="E128" s="5">
        <f t="shared" si="1"/>
        <v>2.7299999999999995</v>
      </c>
      <c r="F128" s="6">
        <v>1063.9525000000001</v>
      </c>
      <c r="G128" s="5">
        <v>6.75</v>
      </c>
      <c r="H128" s="7">
        <v>1211.22998046875</v>
      </c>
    </row>
    <row r="129" spans="1:8" x14ac:dyDescent="0.3">
      <c r="A129" s="9">
        <v>36899</v>
      </c>
      <c r="B129" s="10">
        <v>4.7905209842791924E-2</v>
      </c>
      <c r="C129" s="5">
        <v>7.85</v>
      </c>
      <c r="D129" s="5">
        <v>4.97</v>
      </c>
      <c r="E129" s="5">
        <f t="shared" si="1"/>
        <v>2.88</v>
      </c>
      <c r="F129" s="6">
        <v>1055.8851</v>
      </c>
      <c r="G129" s="5">
        <v>6.66</v>
      </c>
      <c r="H129" s="7">
        <v>1133.57995605468</v>
      </c>
    </row>
    <row r="130" spans="1:8" x14ac:dyDescent="0.3">
      <c r="A130" s="9">
        <v>36900</v>
      </c>
      <c r="B130" s="10">
        <v>-2.2719001284501564E-2</v>
      </c>
      <c r="C130" s="5">
        <v>8.0299999999999994</v>
      </c>
      <c r="D130" s="5">
        <v>4.7300000000000004</v>
      </c>
      <c r="E130" s="5">
        <f t="shared" si="1"/>
        <v>3.2999999999999989</v>
      </c>
      <c r="F130" s="6">
        <v>1059.5264999999999</v>
      </c>
      <c r="G130" s="5">
        <v>6.26</v>
      </c>
      <c r="H130" s="7">
        <v>1040.93994140625</v>
      </c>
    </row>
    <row r="131" spans="1:8" x14ac:dyDescent="0.3">
      <c r="A131" s="9">
        <v>36901</v>
      </c>
      <c r="B131" s="10">
        <v>3.6271830416904974E-3</v>
      </c>
      <c r="C131" s="5">
        <v>7.91</v>
      </c>
      <c r="D131" s="5">
        <v>4.57</v>
      </c>
      <c r="E131" s="5">
        <f t="shared" ref="E131:E194" si="2">C131-D131</f>
        <v>3.34</v>
      </c>
      <c r="F131" s="6">
        <v>1045.2523000000001</v>
      </c>
      <c r="G131" s="5">
        <v>5.55</v>
      </c>
      <c r="H131" s="7">
        <v>1059.78002929687</v>
      </c>
    </row>
    <row r="132" spans="1:8" x14ac:dyDescent="0.3">
      <c r="A132" s="9">
        <v>36902</v>
      </c>
      <c r="B132" s="10">
        <v>-1.6939631844643629E-2</v>
      </c>
      <c r="C132" s="5">
        <v>7.81</v>
      </c>
      <c r="D132" s="5">
        <v>4.6500000000000004</v>
      </c>
      <c r="E132" s="5">
        <f t="shared" si="2"/>
        <v>3.1599999999999993</v>
      </c>
      <c r="F132" s="6">
        <v>1034.2084</v>
      </c>
      <c r="G132" s="5">
        <v>5.0999999999999996</v>
      </c>
      <c r="H132" s="7">
        <v>1139.44995117187</v>
      </c>
    </row>
    <row r="133" spans="1:8" x14ac:dyDescent="0.3">
      <c r="A133" s="9">
        <v>36903</v>
      </c>
      <c r="B133" s="10">
        <v>2.8416664449401018E-2</v>
      </c>
      <c r="C133" s="5">
        <v>8.0500000000000007</v>
      </c>
      <c r="D133" s="5">
        <v>5.09</v>
      </c>
      <c r="E133" s="5">
        <f t="shared" si="2"/>
        <v>2.9600000000000009</v>
      </c>
      <c r="F133" s="6">
        <v>1021.5675</v>
      </c>
      <c r="G133" s="5">
        <v>4.84</v>
      </c>
      <c r="H133" s="7">
        <v>1148.07995605468</v>
      </c>
    </row>
    <row r="134" spans="1:8" x14ac:dyDescent="0.3">
      <c r="A134" s="9">
        <v>37257</v>
      </c>
      <c r="B134" s="10">
        <v>1.7032661716398147E-2</v>
      </c>
      <c r="C134" s="5">
        <v>7.87</v>
      </c>
      <c r="D134" s="5">
        <v>5.04</v>
      </c>
      <c r="E134" s="5">
        <f t="shared" si="2"/>
        <v>2.83</v>
      </c>
      <c r="F134" s="6">
        <v>1011.7855</v>
      </c>
      <c r="G134" s="5">
        <v>4.75</v>
      </c>
      <c r="H134" s="7">
        <v>1130.19995117187</v>
      </c>
    </row>
    <row r="135" spans="1:8" x14ac:dyDescent="0.3">
      <c r="A135" s="9">
        <v>37258</v>
      </c>
      <c r="B135" s="10">
        <v>0</v>
      </c>
      <c r="C135" s="5">
        <v>7.89</v>
      </c>
      <c r="D135" s="5">
        <v>4.91</v>
      </c>
      <c r="E135" s="5">
        <f t="shared" si="2"/>
        <v>2.9799999999999995</v>
      </c>
      <c r="F135" s="6">
        <v>1016.4296000000001</v>
      </c>
      <c r="G135" s="5">
        <v>4.75</v>
      </c>
      <c r="H135" s="7">
        <v>1106.72998046875</v>
      </c>
    </row>
    <row r="136" spans="1:8" x14ac:dyDescent="0.3">
      <c r="A136" s="9">
        <v>37259</v>
      </c>
      <c r="B136" s="10">
        <v>-2.8865832956350798E-2</v>
      </c>
      <c r="C136" s="5">
        <v>8.11</v>
      </c>
      <c r="D136" s="5">
        <v>5.28</v>
      </c>
      <c r="E136" s="5">
        <f t="shared" si="2"/>
        <v>2.8299999999999992</v>
      </c>
      <c r="F136" s="6">
        <v>1012.0572</v>
      </c>
      <c r="G136" s="5">
        <v>4.75</v>
      </c>
      <c r="H136" s="7">
        <v>1147.39001464843</v>
      </c>
    </row>
    <row r="137" spans="1:8" x14ac:dyDescent="0.3">
      <c r="A137" s="9">
        <v>37260</v>
      </c>
      <c r="B137" s="10">
        <v>0</v>
      </c>
      <c r="C137" s="5">
        <v>8.0299999999999994</v>
      </c>
      <c r="D137" s="5">
        <v>5.21</v>
      </c>
      <c r="E137" s="5">
        <f t="shared" si="2"/>
        <v>2.8199999999999994</v>
      </c>
      <c r="F137" s="6">
        <v>1000.4692</v>
      </c>
      <c r="G137" s="5">
        <v>4.75</v>
      </c>
      <c r="H137" s="7">
        <v>1076.92004394531</v>
      </c>
    </row>
    <row r="138" spans="1:8" x14ac:dyDescent="0.3">
      <c r="A138" s="9">
        <v>37261</v>
      </c>
      <c r="B138" s="10">
        <v>1.9140256201879528E-2</v>
      </c>
      <c r="C138" s="5">
        <v>8.09</v>
      </c>
      <c r="D138" s="5">
        <v>5.16</v>
      </c>
      <c r="E138" s="5">
        <f t="shared" si="2"/>
        <v>2.9299999999999997</v>
      </c>
      <c r="F138" s="6">
        <v>990.77030000000002</v>
      </c>
      <c r="G138" s="5">
        <v>4.75</v>
      </c>
      <c r="H138" s="7">
        <v>1067.14001464843</v>
      </c>
    </row>
    <row r="139" spans="1:8" x14ac:dyDescent="0.3">
      <c r="A139" s="9">
        <v>37262</v>
      </c>
      <c r="B139" s="10">
        <v>2.3994555558241405E-2</v>
      </c>
      <c r="C139" s="5">
        <v>7.95</v>
      </c>
      <c r="D139" s="5">
        <v>4.93</v>
      </c>
      <c r="E139" s="5">
        <f t="shared" si="2"/>
        <v>3.0200000000000005</v>
      </c>
      <c r="F139" s="6">
        <v>983.8954</v>
      </c>
      <c r="G139" s="5">
        <v>4.75</v>
      </c>
      <c r="H139" s="7">
        <v>989.82000732421795</v>
      </c>
    </row>
    <row r="140" spans="1:8" x14ac:dyDescent="0.3">
      <c r="A140" s="9">
        <v>37263</v>
      </c>
      <c r="B140" s="10">
        <v>0</v>
      </c>
      <c r="C140" s="5">
        <v>7.9</v>
      </c>
      <c r="D140" s="5">
        <v>4.6500000000000004</v>
      </c>
      <c r="E140" s="5">
        <f t="shared" si="2"/>
        <v>3.25</v>
      </c>
      <c r="F140" s="6">
        <v>976.61860000000001</v>
      </c>
      <c r="G140" s="5">
        <v>4.75</v>
      </c>
      <c r="H140" s="7">
        <v>911.61999511718705</v>
      </c>
    </row>
    <row r="141" spans="1:8" x14ac:dyDescent="0.3">
      <c r="A141" s="9">
        <v>37264</v>
      </c>
      <c r="B141" s="10">
        <v>-3.1834451369845557E-2</v>
      </c>
      <c r="C141" s="5">
        <v>7.58</v>
      </c>
      <c r="D141" s="5">
        <v>4.26</v>
      </c>
      <c r="E141" s="5">
        <f t="shared" si="2"/>
        <v>3.3200000000000003</v>
      </c>
      <c r="F141" s="6">
        <v>972.44420000000002</v>
      </c>
      <c r="G141" s="5">
        <v>4.75</v>
      </c>
      <c r="H141" s="7">
        <v>916.07000732421795</v>
      </c>
    </row>
    <row r="142" spans="1:8" x14ac:dyDescent="0.3">
      <c r="A142" s="9">
        <v>37265</v>
      </c>
      <c r="B142" s="10">
        <v>-1.9691710860583137E-2</v>
      </c>
      <c r="C142" s="5">
        <v>7.4</v>
      </c>
      <c r="D142" s="5">
        <v>3.87</v>
      </c>
      <c r="E142" s="5">
        <f t="shared" si="2"/>
        <v>3.5300000000000002</v>
      </c>
      <c r="F142" s="6">
        <v>966.42420000000004</v>
      </c>
      <c r="G142" s="5">
        <v>4.75</v>
      </c>
      <c r="H142" s="7">
        <v>815.280029296875</v>
      </c>
    </row>
    <row r="143" spans="1:8" x14ac:dyDescent="0.3">
      <c r="A143" s="9">
        <v>37266</v>
      </c>
      <c r="B143" s="10">
        <v>0</v>
      </c>
      <c r="C143" s="5">
        <v>7.73</v>
      </c>
      <c r="D143" s="5">
        <v>3.94</v>
      </c>
      <c r="E143" s="5">
        <f t="shared" si="2"/>
        <v>3.7900000000000005</v>
      </c>
      <c r="F143" s="6">
        <v>963.2808</v>
      </c>
      <c r="G143" s="5">
        <v>4.75</v>
      </c>
      <c r="H143" s="7">
        <v>885.760009765625</v>
      </c>
    </row>
    <row r="144" spans="1:8" x14ac:dyDescent="0.3">
      <c r="A144" s="9">
        <v>37267</v>
      </c>
      <c r="B144" s="10">
        <v>-5.7176295707936656E-2</v>
      </c>
      <c r="C144" s="5">
        <v>7.62</v>
      </c>
      <c r="D144" s="5">
        <v>4.05</v>
      </c>
      <c r="E144" s="5">
        <f t="shared" si="2"/>
        <v>3.5700000000000003</v>
      </c>
      <c r="F144" s="6">
        <v>960.79240000000004</v>
      </c>
      <c r="G144" s="5">
        <v>4.3499999999999996</v>
      </c>
      <c r="H144" s="7">
        <v>936.30999755859295</v>
      </c>
    </row>
    <row r="145" spans="1:8" x14ac:dyDescent="0.3">
      <c r="A145" s="9">
        <v>37268</v>
      </c>
      <c r="B145" s="10">
        <v>3.2353764642106465E-2</v>
      </c>
      <c r="C145" s="5">
        <v>7.45</v>
      </c>
      <c r="D145" s="5">
        <v>4.03</v>
      </c>
      <c r="E145" s="5">
        <f t="shared" si="2"/>
        <v>3.42</v>
      </c>
      <c r="F145" s="6">
        <v>957.75990000000002</v>
      </c>
      <c r="G145" s="5">
        <v>4.25</v>
      </c>
      <c r="H145" s="7">
        <v>879.82000732421795</v>
      </c>
    </row>
    <row r="146" spans="1:8" x14ac:dyDescent="0.3">
      <c r="A146" s="9">
        <v>37622</v>
      </c>
      <c r="B146" s="10">
        <v>3.3477074262476952E-2</v>
      </c>
      <c r="C146" s="5">
        <v>7.35</v>
      </c>
      <c r="D146" s="5">
        <v>4.05</v>
      </c>
      <c r="E146" s="5">
        <f t="shared" si="2"/>
        <v>3.3</v>
      </c>
      <c r="F146" s="6">
        <v>950.13220000000001</v>
      </c>
      <c r="G146" s="5">
        <v>4.25</v>
      </c>
      <c r="H146" s="7">
        <v>855.70001220703102</v>
      </c>
    </row>
    <row r="147" spans="1:8" x14ac:dyDescent="0.3">
      <c r="A147" s="9">
        <v>37623</v>
      </c>
      <c r="B147" s="10">
        <v>0</v>
      </c>
      <c r="C147" s="5">
        <v>7.06</v>
      </c>
      <c r="D147" s="5">
        <v>3.9</v>
      </c>
      <c r="E147" s="5">
        <f t="shared" si="2"/>
        <v>3.1599999999999997</v>
      </c>
      <c r="F147" s="6">
        <v>941.26179999999999</v>
      </c>
      <c r="G147" s="5">
        <v>4.25</v>
      </c>
      <c r="H147" s="7">
        <v>841.15002441406205</v>
      </c>
    </row>
    <row r="148" spans="1:8" x14ac:dyDescent="0.3">
      <c r="A148" s="9">
        <v>37624</v>
      </c>
      <c r="B148" s="10">
        <v>-4.4398475816288079E-3</v>
      </c>
      <c r="C148" s="5">
        <v>6.95</v>
      </c>
      <c r="D148" s="5">
        <v>3.81</v>
      </c>
      <c r="E148" s="5">
        <f t="shared" si="2"/>
        <v>3.14</v>
      </c>
      <c r="F148" s="6">
        <v>937.74210000000005</v>
      </c>
      <c r="G148" s="5">
        <v>4.25</v>
      </c>
      <c r="H148" s="7">
        <v>848.17999267578102</v>
      </c>
    </row>
    <row r="149" spans="1:8" x14ac:dyDescent="0.3">
      <c r="A149" s="9">
        <v>37625</v>
      </c>
      <c r="B149" s="10">
        <v>0</v>
      </c>
      <c r="C149" s="5">
        <v>6.85</v>
      </c>
      <c r="D149" s="5">
        <v>3.96</v>
      </c>
      <c r="E149" s="5">
        <f t="shared" si="2"/>
        <v>2.8899999999999997</v>
      </c>
      <c r="F149" s="6">
        <v>935.33109999999999</v>
      </c>
      <c r="G149" s="5">
        <v>4.25</v>
      </c>
      <c r="H149" s="7">
        <v>916.91998291015602</v>
      </c>
    </row>
    <row r="150" spans="1:8" x14ac:dyDescent="0.3">
      <c r="A150" s="9">
        <v>37626</v>
      </c>
      <c r="B150" s="10">
        <v>-2.7205020005612313E-2</v>
      </c>
      <c r="C150" s="5">
        <v>6.38</v>
      </c>
      <c r="D150" s="5">
        <v>3.57</v>
      </c>
      <c r="E150" s="5">
        <f t="shared" si="2"/>
        <v>2.81</v>
      </c>
      <c r="F150" s="6">
        <v>923.87699999999995</v>
      </c>
      <c r="G150" s="5">
        <v>4.25</v>
      </c>
      <c r="H150" s="7">
        <v>963.59002685546795</v>
      </c>
    </row>
    <row r="151" spans="1:8" x14ac:dyDescent="0.3">
      <c r="A151" s="9">
        <v>37627</v>
      </c>
      <c r="B151" s="10">
        <v>0.15039597026088103</v>
      </c>
      <c r="C151" s="5">
        <v>6.19</v>
      </c>
      <c r="D151" s="5">
        <v>3.33</v>
      </c>
      <c r="E151" s="5">
        <f t="shared" si="2"/>
        <v>2.8600000000000003</v>
      </c>
      <c r="F151" s="6">
        <v>917.20899999999995</v>
      </c>
      <c r="G151" s="5">
        <v>4.2300000000000004</v>
      </c>
      <c r="H151" s="7">
        <v>974.5</v>
      </c>
    </row>
    <row r="152" spans="1:8" x14ac:dyDescent="0.3">
      <c r="A152" s="9">
        <v>37628</v>
      </c>
      <c r="B152" s="10">
        <v>0</v>
      </c>
      <c r="C152" s="5">
        <v>6.62</v>
      </c>
      <c r="D152" s="5">
        <v>3.98</v>
      </c>
      <c r="E152" s="5">
        <f t="shared" si="2"/>
        <v>2.64</v>
      </c>
      <c r="F152" s="6">
        <v>921.43409999999994</v>
      </c>
      <c r="G152" s="5">
        <v>4</v>
      </c>
      <c r="H152" s="7">
        <v>990.30999755859295</v>
      </c>
    </row>
    <row r="153" spans="1:8" x14ac:dyDescent="0.3">
      <c r="A153" s="9">
        <v>37629</v>
      </c>
      <c r="B153" s="10">
        <v>2.4428324908513051E-2</v>
      </c>
      <c r="C153" s="5">
        <v>7.01</v>
      </c>
      <c r="D153" s="5">
        <v>4.45</v>
      </c>
      <c r="E153" s="5">
        <f t="shared" si="2"/>
        <v>2.5599999999999996</v>
      </c>
      <c r="F153" s="6">
        <v>909.59640000000002</v>
      </c>
      <c r="G153" s="5">
        <v>4</v>
      </c>
      <c r="H153" s="7">
        <v>1008.01000976562</v>
      </c>
    </row>
    <row r="154" spans="1:8" x14ac:dyDescent="0.3">
      <c r="A154" s="9">
        <v>37630</v>
      </c>
      <c r="B154" s="10">
        <v>-2.8835896654793008E-2</v>
      </c>
      <c r="C154" s="5">
        <v>6.79</v>
      </c>
      <c r="D154" s="5">
        <v>4.2699999999999996</v>
      </c>
      <c r="E154" s="5">
        <f t="shared" si="2"/>
        <v>2.5200000000000005</v>
      </c>
      <c r="F154" s="6">
        <v>899.94460000000004</v>
      </c>
      <c r="G154" s="5">
        <v>4</v>
      </c>
      <c r="H154" s="7">
        <v>995.969970703125</v>
      </c>
    </row>
    <row r="155" spans="1:8" x14ac:dyDescent="0.3">
      <c r="A155" s="9">
        <v>37631</v>
      </c>
      <c r="B155" s="10">
        <v>1.9182943356264078E-3</v>
      </c>
      <c r="C155" s="5">
        <v>6.73</v>
      </c>
      <c r="D155" s="5">
        <v>4.29</v>
      </c>
      <c r="E155" s="5">
        <f t="shared" si="2"/>
        <v>2.4400000000000004</v>
      </c>
      <c r="F155" s="6">
        <v>887.21510000000001</v>
      </c>
      <c r="G155" s="5">
        <v>4</v>
      </c>
      <c r="H155" s="7">
        <v>1050.7099609375</v>
      </c>
    </row>
    <row r="156" spans="1:8" x14ac:dyDescent="0.3">
      <c r="A156" s="9">
        <v>37632</v>
      </c>
      <c r="B156" s="10">
        <v>0</v>
      </c>
      <c r="C156" s="5">
        <v>6.66</v>
      </c>
      <c r="D156" s="5">
        <v>4.3</v>
      </c>
      <c r="E156" s="5">
        <f t="shared" si="2"/>
        <v>2.3600000000000003</v>
      </c>
      <c r="F156" s="6">
        <v>882.08820000000003</v>
      </c>
      <c r="G156" s="5">
        <v>4</v>
      </c>
      <c r="H156" s="7">
        <v>1058.19995117187</v>
      </c>
    </row>
    <row r="157" spans="1:8" x14ac:dyDescent="0.3">
      <c r="A157" s="9">
        <v>37633</v>
      </c>
      <c r="B157" s="10">
        <v>3.4549652270746199E-3</v>
      </c>
      <c r="C157" s="5">
        <v>6.6</v>
      </c>
      <c r="D157" s="5">
        <v>4.2699999999999996</v>
      </c>
      <c r="E157" s="5">
        <f t="shared" si="2"/>
        <v>2.33</v>
      </c>
      <c r="F157" s="6">
        <v>883.65499999999997</v>
      </c>
      <c r="G157" s="5">
        <v>4</v>
      </c>
      <c r="H157" s="7">
        <v>1111.92004394531</v>
      </c>
    </row>
    <row r="158" spans="1:8" x14ac:dyDescent="0.3">
      <c r="A158" s="9">
        <v>37987</v>
      </c>
      <c r="B158" s="10">
        <v>-2.0657054396900933E-2</v>
      </c>
      <c r="C158" s="5">
        <v>6.44</v>
      </c>
      <c r="D158" s="5">
        <v>4.1500000000000004</v>
      </c>
      <c r="E158" s="5">
        <f t="shared" si="2"/>
        <v>2.29</v>
      </c>
      <c r="F158" s="6">
        <v>876.23559999999998</v>
      </c>
      <c r="G158" s="5">
        <v>4</v>
      </c>
      <c r="H158" s="7">
        <v>1131.13000488281</v>
      </c>
    </row>
    <row r="159" spans="1:8" x14ac:dyDescent="0.3">
      <c r="A159" s="9">
        <v>37988</v>
      </c>
      <c r="B159" s="10">
        <v>0</v>
      </c>
      <c r="C159" s="5">
        <v>6.27</v>
      </c>
      <c r="D159" s="5">
        <v>4.08</v>
      </c>
      <c r="E159" s="5">
        <f t="shared" si="2"/>
        <v>2.1899999999999995</v>
      </c>
      <c r="F159" s="6">
        <v>874.27739999999994</v>
      </c>
      <c r="G159" s="5">
        <v>4</v>
      </c>
      <c r="H159" s="7">
        <v>1144.93994140625</v>
      </c>
    </row>
    <row r="160" spans="1:8" x14ac:dyDescent="0.3">
      <c r="A160" s="9">
        <v>37989</v>
      </c>
      <c r="B160" s="10">
        <v>-1.5435580892439829E-2</v>
      </c>
      <c r="C160" s="5">
        <v>6.11</v>
      </c>
      <c r="D160" s="5">
        <v>3.83</v>
      </c>
      <c r="E160" s="5">
        <f t="shared" si="2"/>
        <v>2.2800000000000002</v>
      </c>
      <c r="F160" s="6">
        <v>869.51430000000005</v>
      </c>
      <c r="G160" s="5">
        <v>4</v>
      </c>
      <c r="H160" s="7">
        <v>1126.2099609375</v>
      </c>
    </row>
    <row r="161" spans="1:8" x14ac:dyDescent="0.3">
      <c r="A161" s="9">
        <v>37990</v>
      </c>
      <c r="B161" s="10">
        <v>0</v>
      </c>
      <c r="C161" s="5">
        <v>6.46</v>
      </c>
      <c r="D161" s="5">
        <v>4.3499999999999996</v>
      </c>
      <c r="E161" s="5">
        <f t="shared" si="2"/>
        <v>2.1100000000000003</v>
      </c>
      <c r="F161" s="6">
        <v>864.7337</v>
      </c>
      <c r="G161" s="5">
        <v>4</v>
      </c>
      <c r="H161" s="7">
        <v>1107.30004882812</v>
      </c>
    </row>
    <row r="162" spans="1:8" x14ac:dyDescent="0.3">
      <c r="A162" s="9">
        <v>37991</v>
      </c>
      <c r="B162" s="10">
        <v>3.594196611717592E-4</v>
      </c>
      <c r="C162" s="5">
        <v>6.75</v>
      </c>
      <c r="D162" s="5">
        <v>4.72</v>
      </c>
      <c r="E162" s="5">
        <f t="shared" si="2"/>
        <v>2.0300000000000002</v>
      </c>
      <c r="F162" s="6">
        <v>862.69949999999994</v>
      </c>
      <c r="G162" s="5">
        <v>4</v>
      </c>
      <c r="H162" s="7">
        <v>1120.68005371093</v>
      </c>
    </row>
    <row r="163" spans="1:8" x14ac:dyDescent="0.3">
      <c r="A163" s="9">
        <v>37992</v>
      </c>
      <c r="B163" s="10">
        <v>-2.3330496073011856E-2</v>
      </c>
      <c r="C163" s="5">
        <v>6.78</v>
      </c>
      <c r="D163" s="5">
        <v>4.7300000000000004</v>
      </c>
      <c r="E163" s="5">
        <f t="shared" si="2"/>
        <v>2.0499999999999998</v>
      </c>
      <c r="F163" s="6">
        <v>869.04549999999995</v>
      </c>
      <c r="G163" s="5">
        <v>4.01</v>
      </c>
      <c r="H163" s="7">
        <v>1140.83996582031</v>
      </c>
    </row>
    <row r="164" spans="1:8" x14ac:dyDescent="0.3">
      <c r="A164" s="9">
        <v>37993</v>
      </c>
      <c r="B164" s="10">
        <v>0</v>
      </c>
      <c r="C164" s="5">
        <v>6.62</v>
      </c>
      <c r="D164" s="5">
        <v>4.5</v>
      </c>
      <c r="E164" s="5">
        <f t="shared" si="2"/>
        <v>2.12</v>
      </c>
      <c r="F164" s="6">
        <v>878.11699999999996</v>
      </c>
      <c r="G164" s="5">
        <v>4.25</v>
      </c>
      <c r="H164" s="7">
        <v>1101.71997070312</v>
      </c>
    </row>
    <row r="165" spans="1:8" x14ac:dyDescent="0.3">
      <c r="A165" s="9">
        <v>37994</v>
      </c>
      <c r="B165" s="10">
        <v>1.2928105794043602E-2</v>
      </c>
      <c r="C165" s="5">
        <v>6.46</v>
      </c>
      <c r="D165" s="5">
        <v>4.28</v>
      </c>
      <c r="E165" s="5">
        <f t="shared" si="2"/>
        <v>2.1799999999999997</v>
      </c>
      <c r="F165" s="6">
        <v>882.83159999999998</v>
      </c>
      <c r="G165" s="5">
        <v>4.43</v>
      </c>
      <c r="H165" s="7">
        <v>1104.23999023437</v>
      </c>
    </row>
    <row r="166" spans="1:8" x14ac:dyDescent="0.3">
      <c r="A166" s="9">
        <v>37995</v>
      </c>
      <c r="B166" s="10">
        <v>-6.4810117206346111E-3</v>
      </c>
      <c r="C166" s="5">
        <v>6.27</v>
      </c>
      <c r="D166" s="5">
        <v>4.13</v>
      </c>
      <c r="E166" s="5">
        <f t="shared" si="2"/>
        <v>2.1399999999999997</v>
      </c>
      <c r="F166" s="6">
        <v>886.7373</v>
      </c>
      <c r="G166" s="5">
        <v>4.5999999999999996</v>
      </c>
      <c r="H166" s="7">
        <v>1114.57995605468</v>
      </c>
    </row>
    <row r="167" spans="1:8" x14ac:dyDescent="0.3">
      <c r="A167" s="9">
        <v>37996</v>
      </c>
      <c r="B167" s="10">
        <v>0</v>
      </c>
      <c r="C167" s="5">
        <v>6.21</v>
      </c>
      <c r="D167" s="5">
        <v>4.0999999999999996</v>
      </c>
      <c r="E167" s="5">
        <f t="shared" si="2"/>
        <v>2.1100000000000003</v>
      </c>
      <c r="F167" s="6">
        <v>889.53020000000004</v>
      </c>
      <c r="G167" s="5">
        <v>4.75</v>
      </c>
      <c r="H167" s="7">
        <v>1130.19995117187</v>
      </c>
    </row>
    <row r="168" spans="1:8" x14ac:dyDescent="0.3">
      <c r="A168" s="9">
        <v>37997</v>
      </c>
      <c r="B168" s="10">
        <v>1.6046647810646145E-2</v>
      </c>
      <c r="C168" s="5">
        <v>6.2</v>
      </c>
      <c r="D168" s="5">
        <v>4.1900000000000004</v>
      </c>
      <c r="E168" s="5">
        <f t="shared" si="2"/>
        <v>2.0099999999999998</v>
      </c>
      <c r="F168" s="6">
        <v>897.97069999999997</v>
      </c>
      <c r="G168" s="5">
        <v>4.92</v>
      </c>
      <c r="H168" s="7">
        <v>1173.81994628906</v>
      </c>
    </row>
    <row r="169" spans="1:8" x14ac:dyDescent="0.3">
      <c r="A169" s="9">
        <v>37998</v>
      </c>
      <c r="B169" s="10">
        <v>-1.0354345588458594E-3</v>
      </c>
      <c r="C169" s="5">
        <v>6.15</v>
      </c>
      <c r="D169" s="5">
        <v>4.2300000000000004</v>
      </c>
      <c r="E169" s="5">
        <f t="shared" si="2"/>
        <v>1.92</v>
      </c>
      <c r="F169" s="6">
        <v>906.51940000000002</v>
      </c>
      <c r="G169" s="5">
        <v>5.15</v>
      </c>
      <c r="H169" s="7">
        <v>1211.92004394531</v>
      </c>
    </row>
    <row r="170" spans="1:8" x14ac:dyDescent="0.3">
      <c r="A170" s="9">
        <v>38353</v>
      </c>
      <c r="B170" s="10">
        <v>0</v>
      </c>
      <c r="C170" s="5">
        <v>6.02</v>
      </c>
      <c r="D170" s="5">
        <v>4.22</v>
      </c>
      <c r="E170" s="5">
        <f t="shared" si="2"/>
        <v>1.7999999999999998</v>
      </c>
      <c r="F170" s="6">
        <v>921.31830000000002</v>
      </c>
      <c r="G170" s="5">
        <v>5.25</v>
      </c>
      <c r="H170" s="7">
        <v>1181.27001953125</v>
      </c>
    </row>
    <row r="171" spans="1:8" x14ac:dyDescent="0.3">
      <c r="A171" s="9">
        <v>38354</v>
      </c>
      <c r="B171" s="10">
        <v>-3.8911705800728181E-3</v>
      </c>
      <c r="C171" s="5">
        <v>5.82</v>
      </c>
      <c r="D171" s="5">
        <v>4.17</v>
      </c>
      <c r="E171" s="5">
        <f t="shared" si="2"/>
        <v>1.6500000000000004</v>
      </c>
      <c r="F171" s="6">
        <v>931.60059999999999</v>
      </c>
      <c r="G171" s="5">
        <v>5.49</v>
      </c>
      <c r="H171" s="7">
        <v>1203.59997558593</v>
      </c>
    </row>
    <row r="172" spans="1:8" x14ac:dyDescent="0.3">
      <c r="A172" s="9">
        <v>38355</v>
      </c>
      <c r="B172" s="10">
        <v>-1.2889036950450473E-2</v>
      </c>
      <c r="C172" s="5">
        <v>6.06</v>
      </c>
      <c r="D172" s="5">
        <v>4.5</v>
      </c>
      <c r="E172" s="5">
        <f t="shared" si="2"/>
        <v>1.5599999999999996</v>
      </c>
      <c r="F172" s="6">
        <v>945.86220000000003</v>
      </c>
      <c r="G172" s="5">
        <v>5.59</v>
      </c>
      <c r="H172" s="7">
        <v>1180.58996582031</v>
      </c>
    </row>
    <row r="173" spans="1:8" x14ac:dyDescent="0.3">
      <c r="A173" s="9">
        <v>38356</v>
      </c>
      <c r="B173" s="10">
        <v>0</v>
      </c>
      <c r="C173" s="5">
        <v>6.05</v>
      </c>
      <c r="D173" s="5">
        <v>4.34</v>
      </c>
      <c r="E173" s="5">
        <f t="shared" si="2"/>
        <v>1.71</v>
      </c>
      <c r="F173" s="6">
        <v>958.80100000000004</v>
      </c>
      <c r="G173" s="5">
        <v>5.75</v>
      </c>
      <c r="H173" s="7">
        <v>1156.84997558593</v>
      </c>
    </row>
    <row r="174" spans="1:8" x14ac:dyDescent="0.3">
      <c r="A174" s="9">
        <v>38357</v>
      </c>
      <c r="B174" s="10">
        <v>8.8430759433940718E-3</v>
      </c>
      <c r="C174" s="5">
        <v>6.01</v>
      </c>
      <c r="D174" s="5">
        <v>4.1399999999999997</v>
      </c>
      <c r="E174" s="5">
        <f t="shared" si="2"/>
        <v>1.87</v>
      </c>
      <c r="F174" s="6">
        <v>968.62369999999999</v>
      </c>
      <c r="G174" s="5">
        <v>5.99</v>
      </c>
      <c r="H174" s="7">
        <v>1191.5</v>
      </c>
    </row>
    <row r="175" spans="1:8" x14ac:dyDescent="0.3">
      <c r="A175" s="9">
        <v>38358</v>
      </c>
      <c r="B175" s="10">
        <v>2.2989921284503598E-2</v>
      </c>
      <c r="C175" s="5">
        <v>5.86</v>
      </c>
      <c r="D175" s="5">
        <v>4</v>
      </c>
      <c r="E175" s="5">
        <f t="shared" si="2"/>
        <v>1.8600000000000003</v>
      </c>
      <c r="F175" s="6">
        <v>975.0068</v>
      </c>
      <c r="G175" s="5">
        <v>6.01</v>
      </c>
      <c r="H175" s="7">
        <v>1191.32995605468</v>
      </c>
    </row>
    <row r="176" spans="1:8" x14ac:dyDescent="0.3">
      <c r="A176" s="9">
        <v>38359</v>
      </c>
      <c r="B176" s="10">
        <v>0</v>
      </c>
      <c r="C176" s="5">
        <v>5.95</v>
      </c>
      <c r="D176" s="5">
        <v>4.18</v>
      </c>
      <c r="E176" s="5">
        <f t="shared" si="2"/>
        <v>1.7700000000000005</v>
      </c>
      <c r="F176" s="6">
        <v>989.70299999999997</v>
      </c>
      <c r="G176" s="5">
        <v>6.25</v>
      </c>
      <c r="H176" s="7">
        <v>1234.18005371093</v>
      </c>
    </row>
    <row r="177" spans="1:8" x14ac:dyDescent="0.3">
      <c r="A177" s="9">
        <v>38360</v>
      </c>
      <c r="B177" s="10">
        <v>-1.2514828076981486E-2</v>
      </c>
      <c r="C177" s="5">
        <v>5.96</v>
      </c>
      <c r="D177" s="5">
        <v>4.26</v>
      </c>
      <c r="E177" s="5">
        <f t="shared" si="2"/>
        <v>1.7000000000000002</v>
      </c>
      <c r="F177" s="6">
        <v>995.50609999999995</v>
      </c>
      <c r="G177" s="5">
        <v>6.43</v>
      </c>
      <c r="H177" s="7">
        <v>1220.32995605468</v>
      </c>
    </row>
    <row r="178" spans="1:8" x14ac:dyDescent="0.3">
      <c r="A178" s="9">
        <v>38361</v>
      </c>
      <c r="B178" s="10">
        <v>1.6971654819483085E-2</v>
      </c>
      <c r="C178" s="5">
        <v>6.03</v>
      </c>
      <c r="D178" s="5">
        <v>4.2</v>
      </c>
      <c r="E178" s="5">
        <f t="shared" si="2"/>
        <v>1.83</v>
      </c>
      <c r="F178" s="6">
        <v>1000.7563</v>
      </c>
      <c r="G178" s="5">
        <v>6.61</v>
      </c>
      <c r="H178" s="7">
        <v>1228.81005859375</v>
      </c>
    </row>
    <row r="179" spans="1:8" x14ac:dyDescent="0.3">
      <c r="A179" s="9">
        <v>38362</v>
      </c>
      <c r="B179" s="10">
        <v>0</v>
      </c>
      <c r="C179" s="5">
        <v>6.3</v>
      </c>
      <c r="D179" s="5">
        <v>4.46</v>
      </c>
      <c r="E179" s="5">
        <f t="shared" si="2"/>
        <v>1.8399999999999999</v>
      </c>
      <c r="F179" s="6">
        <v>1014.6763</v>
      </c>
      <c r="G179" s="5">
        <v>6.75</v>
      </c>
      <c r="H179" s="7">
        <v>1207.01000976562</v>
      </c>
    </row>
    <row r="180" spans="1:8" x14ac:dyDescent="0.3">
      <c r="A180" s="9">
        <v>38363</v>
      </c>
      <c r="B180" s="10">
        <v>3.831086648775222E-3</v>
      </c>
      <c r="C180" s="5">
        <v>6.39</v>
      </c>
      <c r="D180" s="5">
        <v>4.54</v>
      </c>
      <c r="E180" s="5">
        <f t="shared" si="2"/>
        <v>1.8499999999999996</v>
      </c>
      <c r="F180" s="6">
        <v>1023.0361</v>
      </c>
      <c r="G180" s="5">
        <v>7</v>
      </c>
      <c r="H180" s="7">
        <v>1249.47998046875</v>
      </c>
    </row>
    <row r="181" spans="1:8" x14ac:dyDescent="0.3">
      <c r="A181" s="9">
        <v>38364</v>
      </c>
      <c r="B181" s="10">
        <v>-1.1549386955032699E-3</v>
      </c>
      <c r="C181" s="5">
        <v>6.32</v>
      </c>
      <c r="D181" s="5">
        <v>4.47</v>
      </c>
      <c r="E181" s="5">
        <f t="shared" si="2"/>
        <v>1.8500000000000005</v>
      </c>
      <c r="F181" s="6">
        <v>1036.3154999999999</v>
      </c>
      <c r="G181" s="5">
        <v>7.15</v>
      </c>
      <c r="H181" s="7">
        <v>1248.2900390625</v>
      </c>
    </row>
    <row r="182" spans="1:8" x14ac:dyDescent="0.3">
      <c r="A182" s="9">
        <v>38718</v>
      </c>
      <c r="B182" s="10">
        <v>1.6000254515501522E-2</v>
      </c>
      <c r="C182" s="5">
        <v>6.24</v>
      </c>
      <c r="D182" s="5">
        <v>4.42</v>
      </c>
      <c r="E182" s="5">
        <f t="shared" si="2"/>
        <v>1.8200000000000003</v>
      </c>
      <c r="F182" s="6">
        <v>1048.6769999999999</v>
      </c>
      <c r="G182" s="5">
        <v>7.26</v>
      </c>
      <c r="H182" s="7">
        <v>1280.07995605468</v>
      </c>
    </row>
    <row r="183" spans="1:8" x14ac:dyDescent="0.3">
      <c r="A183" s="9">
        <v>38719</v>
      </c>
      <c r="B183" s="10">
        <v>0</v>
      </c>
      <c r="C183" s="5">
        <v>6.27</v>
      </c>
      <c r="D183" s="5">
        <v>4.57</v>
      </c>
      <c r="E183" s="5">
        <f t="shared" si="2"/>
        <v>1.6999999999999993</v>
      </c>
      <c r="F183" s="6">
        <v>1058.2693999999999</v>
      </c>
      <c r="G183" s="5">
        <v>7.5</v>
      </c>
      <c r="H183" s="7">
        <v>1280.66003417968</v>
      </c>
    </row>
    <row r="184" spans="1:8" x14ac:dyDescent="0.3">
      <c r="A184" s="9">
        <v>38720</v>
      </c>
      <c r="B184" s="10">
        <v>2.463035516922114E-2</v>
      </c>
      <c r="C184" s="5">
        <v>6.41</v>
      </c>
      <c r="D184" s="5">
        <v>4.72</v>
      </c>
      <c r="E184" s="5">
        <f t="shared" si="2"/>
        <v>1.6900000000000004</v>
      </c>
      <c r="F184" s="6">
        <v>1068.6018999999999</v>
      </c>
      <c r="G184" s="5">
        <v>7.54</v>
      </c>
      <c r="H184" s="7">
        <v>1294.86999511718</v>
      </c>
    </row>
    <row r="185" spans="1:8" x14ac:dyDescent="0.3">
      <c r="A185" s="9">
        <v>38721</v>
      </c>
      <c r="B185" s="10">
        <v>0</v>
      </c>
      <c r="C185" s="5">
        <v>6.68</v>
      </c>
      <c r="D185" s="5">
        <v>4.99</v>
      </c>
      <c r="E185" s="5">
        <f t="shared" si="2"/>
        <v>1.6899999999999995</v>
      </c>
      <c r="F185" s="6">
        <v>1085.2170000000001</v>
      </c>
      <c r="G185" s="5">
        <v>7.75</v>
      </c>
      <c r="H185" s="7">
        <v>1310.60998535156</v>
      </c>
    </row>
    <row r="186" spans="1:8" x14ac:dyDescent="0.3">
      <c r="A186" s="9">
        <v>38722</v>
      </c>
      <c r="B186" s="10">
        <v>5.1257424370727264E-2</v>
      </c>
      <c r="C186" s="5">
        <v>6.75</v>
      </c>
      <c r="D186" s="5">
        <v>5.1100000000000003</v>
      </c>
      <c r="E186" s="5">
        <f t="shared" si="2"/>
        <v>1.6399999999999997</v>
      </c>
      <c r="F186" s="6">
        <v>1103.3153</v>
      </c>
      <c r="G186" s="5">
        <v>7.92</v>
      </c>
      <c r="H186" s="7">
        <v>1270.08996582031</v>
      </c>
    </row>
    <row r="187" spans="1:8" x14ac:dyDescent="0.3">
      <c r="A187" s="9">
        <v>38723</v>
      </c>
      <c r="B187" s="10">
        <v>-4.0452303367576204E-3</v>
      </c>
      <c r="C187" s="5">
        <v>6.78</v>
      </c>
      <c r="D187" s="5">
        <v>5.1100000000000003</v>
      </c>
      <c r="E187" s="5">
        <f t="shared" si="2"/>
        <v>1.67</v>
      </c>
      <c r="F187" s="6">
        <v>1118.8134</v>
      </c>
      <c r="G187" s="5">
        <v>8.02</v>
      </c>
      <c r="H187" s="7">
        <v>1270.19995117187</v>
      </c>
    </row>
    <row r="188" spans="1:8" x14ac:dyDescent="0.3">
      <c r="A188" s="9">
        <v>38724</v>
      </c>
      <c r="B188" s="10">
        <v>0</v>
      </c>
      <c r="C188" s="5">
        <v>6.76</v>
      </c>
      <c r="D188" s="5">
        <v>5.09</v>
      </c>
      <c r="E188" s="5">
        <f t="shared" si="2"/>
        <v>1.67</v>
      </c>
      <c r="F188" s="6">
        <v>1130.7415000000001</v>
      </c>
      <c r="G188" s="5">
        <v>8.25</v>
      </c>
      <c r="H188" s="7">
        <v>1276.66003417968</v>
      </c>
    </row>
    <row r="189" spans="1:8" x14ac:dyDescent="0.3">
      <c r="A189" s="9">
        <v>38725</v>
      </c>
      <c r="B189" s="10">
        <v>-1.838086539086279E-2</v>
      </c>
      <c r="C189" s="5">
        <v>6.59</v>
      </c>
      <c r="D189" s="5">
        <v>4.88</v>
      </c>
      <c r="E189" s="5">
        <f t="shared" si="2"/>
        <v>1.71</v>
      </c>
      <c r="F189" s="6">
        <v>1151.7102</v>
      </c>
      <c r="G189" s="5">
        <v>8.25</v>
      </c>
      <c r="H189" s="7">
        <v>1303.81994628906</v>
      </c>
    </row>
    <row r="190" spans="1:8" x14ac:dyDescent="0.3">
      <c r="A190" s="9">
        <v>38726</v>
      </c>
      <c r="B190" s="10">
        <v>2.2965022081280571E-2</v>
      </c>
      <c r="C190" s="5">
        <v>6.43</v>
      </c>
      <c r="D190" s="5">
        <v>4.72</v>
      </c>
      <c r="E190" s="5">
        <f t="shared" si="2"/>
        <v>1.71</v>
      </c>
      <c r="F190" s="6">
        <v>1150.8734999999999</v>
      </c>
      <c r="G190" s="5">
        <v>8.25</v>
      </c>
      <c r="H190" s="7">
        <v>1335.84997558593</v>
      </c>
    </row>
    <row r="191" spans="1:8" x14ac:dyDescent="0.3">
      <c r="A191" s="9">
        <v>38727</v>
      </c>
      <c r="B191" s="10">
        <v>-9.7871207317412716E-3</v>
      </c>
      <c r="C191" s="5">
        <v>6.42</v>
      </c>
      <c r="D191" s="5">
        <v>4.7300000000000004</v>
      </c>
      <c r="E191" s="5">
        <f t="shared" si="2"/>
        <v>1.6899999999999995</v>
      </c>
      <c r="F191" s="6">
        <v>1161.5391999999999</v>
      </c>
      <c r="G191" s="5">
        <v>8.25</v>
      </c>
      <c r="H191" s="7">
        <v>1377.93994140625</v>
      </c>
    </row>
    <row r="192" spans="1:8" x14ac:dyDescent="0.3">
      <c r="A192" s="9">
        <v>38728</v>
      </c>
      <c r="B192" s="10">
        <v>0</v>
      </c>
      <c r="C192" s="5">
        <v>6.2</v>
      </c>
      <c r="D192" s="5">
        <v>4.5999999999999996</v>
      </c>
      <c r="E192" s="5">
        <f t="shared" si="2"/>
        <v>1.6000000000000005</v>
      </c>
      <c r="F192" s="6">
        <v>1170.5211999999999</v>
      </c>
      <c r="G192" s="5">
        <v>8.25</v>
      </c>
      <c r="H192" s="7">
        <v>1400.63000488281</v>
      </c>
    </row>
    <row r="193" spans="1:8" x14ac:dyDescent="0.3">
      <c r="A193" s="9">
        <v>38729</v>
      </c>
      <c r="B193" s="10">
        <v>2.3059353179636314E-2</v>
      </c>
      <c r="C193" s="5">
        <v>6.22</v>
      </c>
      <c r="D193" s="5">
        <v>4.5599999999999996</v>
      </c>
      <c r="E193" s="5">
        <f t="shared" si="2"/>
        <v>1.6600000000000001</v>
      </c>
      <c r="F193" s="6">
        <v>1182.8014000000001</v>
      </c>
      <c r="G193" s="5">
        <v>8.25</v>
      </c>
      <c r="H193" s="7">
        <v>1418.30004882812</v>
      </c>
    </row>
    <row r="194" spans="1:8" x14ac:dyDescent="0.3">
      <c r="A194" s="9">
        <v>39083</v>
      </c>
      <c r="B194" s="10">
        <v>1.6405912132525693E-2</v>
      </c>
      <c r="C194" s="5">
        <v>6.34</v>
      </c>
      <c r="D194" s="5">
        <v>4.76</v>
      </c>
      <c r="E194" s="5">
        <f t="shared" si="2"/>
        <v>1.58</v>
      </c>
      <c r="F194" s="6">
        <v>1192.29</v>
      </c>
      <c r="G194" s="5">
        <v>8.25</v>
      </c>
      <c r="H194" s="7">
        <v>1438.23999023437</v>
      </c>
    </row>
    <row r="195" spans="1:8" x14ac:dyDescent="0.3">
      <c r="A195" s="9">
        <v>39084</v>
      </c>
      <c r="B195" s="10">
        <v>0</v>
      </c>
      <c r="C195" s="5">
        <v>6.28</v>
      </c>
      <c r="D195" s="5">
        <v>4.72</v>
      </c>
      <c r="E195" s="5">
        <f t="shared" ref="E195:E258" si="3">C195-D195</f>
        <v>1.5600000000000005</v>
      </c>
      <c r="F195" s="6">
        <v>1204.8529000000001</v>
      </c>
      <c r="G195" s="5">
        <v>8.25</v>
      </c>
      <c r="H195" s="7">
        <v>1406.81994628906</v>
      </c>
    </row>
    <row r="196" spans="1:8" x14ac:dyDescent="0.3">
      <c r="A196" s="9">
        <v>39085</v>
      </c>
      <c r="B196" s="10">
        <v>5.1344062737645503E-3</v>
      </c>
      <c r="C196" s="5">
        <v>6.27</v>
      </c>
      <c r="D196" s="5">
        <v>4.5599999999999996</v>
      </c>
      <c r="E196" s="5">
        <f t="shared" si="3"/>
        <v>1.71</v>
      </c>
      <c r="F196" s="6">
        <v>1215.6537000000001</v>
      </c>
      <c r="G196" s="5">
        <v>8.25</v>
      </c>
      <c r="H196" s="7">
        <v>1420.85998535156</v>
      </c>
    </row>
    <row r="197" spans="1:8" x14ac:dyDescent="0.3">
      <c r="A197" s="9">
        <v>39086</v>
      </c>
      <c r="B197" s="10">
        <v>0</v>
      </c>
      <c r="C197" s="5">
        <v>6.39</v>
      </c>
      <c r="D197" s="5">
        <v>4.6900000000000004</v>
      </c>
      <c r="E197" s="5">
        <f t="shared" si="3"/>
        <v>1.6999999999999993</v>
      </c>
      <c r="F197" s="6">
        <v>1226.6366</v>
      </c>
      <c r="G197" s="5">
        <v>8.25</v>
      </c>
      <c r="H197" s="7">
        <v>1482.36999511718</v>
      </c>
    </row>
    <row r="198" spans="1:8" x14ac:dyDescent="0.3">
      <c r="A198" s="9">
        <v>39087</v>
      </c>
      <c r="B198" s="10">
        <v>2.9956466013998633E-2</v>
      </c>
      <c r="C198" s="5">
        <v>6.39</v>
      </c>
      <c r="D198" s="5">
        <v>4.75</v>
      </c>
      <c r="E198" s="5">
        <f t="shared" si="3"/>
        <v>1.6399999999999997</v>
      </c>
      <c r="F198" s="6">
        <v>1244.7308</v>
      </c>
      <c r="G198" s="5">
        <v>8.25</v>
      </c>
      <c r="H198" s="7">
        <v>1530.61999511718</v>
      </c>
    </row>
    <row r="199" spans="1:8" x14ac:dyDescent="0.3">
      <c r="A199" s="9">
        <v>39088</v>
      </c>
      <c r="B199" s="10">
        <v>8.0465494311602812E-3</v>
      </c>
      <c r="C199" s="5">
        <v>6.7</v>
      </c>
      <c r="D199" s="5">
        <v>5.0999999999999996</v>
      </c>
      <c r="E199" s="5">
        <f t="shared" si="3"/>
        <v>1.6000000000000005</v>
      </c>
      <c r="F199" s="6">
        <v>1263.9332999999999</v>
      </c>
      <c r="G199" s="5">
        <v>8.25</v>
      </c>
      <c r="H199" s="7">
        <v>1503.34997558593</v>
      </c>
    </row>
    <row r="200" spans="1:8" x14ac:dyDescent="0.3">
      <c r="A200" s="9">
        <v>39089</v>
      </c>
      <c r="B200" s="10">
        <v>0</v>
      </c>
      <c r="C200" s="5">
        <v>6.65</v>
      </c>
      <c r="D200" s="5">
        <v>5</v>
      </c>
      <c r="E200" s="5">
        <f t="shared" si="3"/>
        <v>1.6500000000000004</v>
      </c>
      <c r="F200" s="6">
        <v>1281.8643999999999</v>
      </c>
      <c r="G200" s="5">
        <v>8.25</v>
      </c>
      <c r="H200" s="7">
        <v>1455.27001953125</v>
      </c>
    </row>
    <row r="201" spans="1:8" x14ac:dyDescent="0.3">
      <c r="A201" s="9">
        <v>39090</v>
      </c>
      <c r="B201" s="10">
        <v>2.0253762313683626E-2</v>
      </c>
      <c r="C201" s="5">
        <v>6.65</v>
      </c>
      <c r="D201" s="5">
        <v>4.67</v>
      </c>
      <c r="E201" s="5">
        <f t="shared" si="3"/>
        <v>1.9800000000000004</v>
      </c>
      <c r="F201" s="6">
        <v>1306.9108000000001</v>
      </c>
      <c r="G201" s="5">
        <v>8.25</v>
      </c>
      <c r="H201" s="7">
        <v>1473.98999023437</v>
      </c>
    </row>
    <row r="202" spans="1:8" x14ac:dyDescent="0.3">
      <c r="A202" s="9">
        <v>39091</v>
      </c>
      <c r="B202" s="10">
        <v>-0.14852736629784977</v>
      </c>
      <c r="C202" s="5">
        <v>6.59</v>
      </c>
      <c r="D202" s="5">
        <v>4.5199999999999996</v>
      </c>
      <c r="E202" s="5">
        <f t="shared" si="3"/>
        <v>2.0700000000000003</v>
      </c>
      <c r="F202" s="6">
        <v>1349.6079999999999</v>
      </c>
      <c r="G202" s="5">
        <v>8.01</v>
      </c>
      <c r="H202" s="7">
        <v>1526.75</v>
      </c>
    </row>
    <row r="203" spans="1:8" x14ac:dyDescent="0.3">
      <c r="A203" s="9">
        <v>39092</v>
      </c>
      <c r="B203" s="10">
        <v>5.2047865330820592E-2</v>
      </c>
      <c r="C203" s="5">
        <v>6.48</v>
      </c>
      <c r="D203" s="5">
        <v>4.53</v>
      </c>
      <c r="E203" s="5">
        <f t="shared" si="3"/>
        <v>1.9500000000000002</v>
      </c>
      <c r="F203" s="6">
        <v>1375.0587</v>
      </c>
      <c r="G203" s="5">
        <v>7.74</v>
      </c>
      <c r="H203" s="7">
        <v>1549.38000488281</v>
      </c>
    </row>
    <row r="204" spans="1:8" x14ac:dyDescent="0.3">
      <c r="A204" s="9">
        <v>39093</v>
      </c>
      <c r="B204" s="10">
        <v>0</v>
      </c>
      <c r="C204" s="5">
        <v>6.4</v>
      </c>
      <c r="D204" s="5">
        <v>4.1500000000000004</v>
      </c>
      <c r="E204" s="5">
        <f t="shared" si="3"/>
        <v>2.25</v>
      </c>
      <c r="F204" s="6">
        <v>1394.4104</v>
      </c>
      <c r="G204" s="5">
        <v>7.5</v>
      </c>
      <c r="H204" s="7">
        <v>1481.14001464843</v>
      </c>
    </row>
    <row r="205" spans="1:8" x14ac:dyDescent="0.3">
      <c r="A205" s="9">
        <v>39094</v>
      </c>
      <c r="B205" s="10">
        <v>8.4227326310190212E-2</v>
      </c>
      <c r="C205" s="5">
        <v>6.65</v>
      </c>
      <c r="D205" s="5">
        <v>4.0999999999999996</v>
      </c>
      <c r="E205" s="5">
        <f t="shared" si="3"/>
        <v>2.5500000000000007</v>
      </c>
      <c r="F205" s="6">
        <v>1418.0137</v>
      </c>
      <c r="G205" s="5">
        <v>7.33</v>
      </c>
      <c r="H205" s="7">
        <v>1468.35998535156</v>
      </c>
    </row>
    <row r="206" spans="1:8" x14ac:dyDescent="0.3">
      <c r="A206" s="9">
        <v>39448</v>
      </c>
      <c r="B206" s="10">
        <v>-0.17495341328506439</v>
      </c>
      <c r="C206" s="5">
        <v>6.54</v>
      </c>
      <c r="D206" s="5">
        <v>3.74</v>
      </c>
      <c r="E206" s="5">
        <f t="shared" si="3"/>
        <v>2.8</v>
      </c>
      <c r="F206" s="6">
        <v>1440.7731000000001</v>
      </c>
      <c r="G206" s="5">
        <v>6.92</v>
      </c>
      <c r="H206" s="7">
        <v>1378.55004882812</v>
      </c>
    </row>
    <row r="207" spans="1:8" x14ac:dyDescent="0.3">
      <c r="A207" s="9">
        <v>39449</v>
      </c>
      <c r="B207" s="10">
        <v>0</v>
      </c>
      <c r="C207" s="5">
        <v>6.82</v>
      </c>
      <c r="D207" s="5">
        <v>3.74</v>
      </c>
      <c r="E207" s="5">
        <f t="shared" si="3"/>
        <v>3.08</v>
      </c>
      <c r="F207" s="6">
        <v>1448.8634</v>
      </c>
      <c r="G207" s="5">
        <v>6</v>
      </c>
      <c r="H207" s="7">
        <v>1330.63000488281</v>
      </c>
    </row>
    <row r="208" spans="1:8" x14ac:dyDescent="0.3">
      <c r="A208" s="9">
        <v>39450</v>
      </c>
      <c r="B208" s="10">
        <v>0.20180119903672261</v>
      </c>
      <c r="C208" s="5">
        <v>6.89</v>
      </c>
      <c r="D208" s="5">
        <v>3.51</v>
      </c>
      <c r="E208" s="5">
        <f t="shared" si="3"/>
        <v>3.38</v>
      </c>
      <c r="F208" s="6">
        <v>1470.5797</v>
      </c>
      <c r="G208" s="5">
        <v>5.64</v>
      </c>
      <c r="H208" s="7">
        <v>1322.69995117187</v>
      </c>
    </row>
    <row r="209" spans="1:8" x14ac:dyDescent="0.3">
      <c r="A209" s="9">
        <v>39451</v>
      </c>
      <c r="B209" s="10">
        <v>6.2274079706671481E-4</v>
      </c>
      <c r="C209" s="5">
        <v>6.97</v>
      </c>
      <c r="D209" s="5">
        <v>3.68</v>
      </c>
      <c r="E209" s="5">
        <f t="shared" si="3"/>
        <v>3.2899999999999996</v>
      </c>
      <c r="F209" s="6">
        <v>1490.1960999999999</v>
      </c>
      <c r="G209" s="5">
        <v>5.24</v>
      </c>
      <c r="H209" s="7">
        <v>1385.58996582031</v>
      </c>
    </row>
    <row r="210" spans="1:8" x14ac:dyDescent="0.3">
      <c r="A210" s="9">
        <v>39452</v>
      </c>
      <c r="B210" s="10">
        <v>0</v>
      </c>
      <c r="C210" s="5">
        <v>6.93</v>
      </c>
      <c r="D210" s="5">
        <v>3.88</v>
      </c>
      <c r="E210" s="5">
        <f t="shared" si="3"/>
        <v>3.05</v>
      </c>
      <c r="F210" s="6">
        <v>1491.5274999999999</v>
      </c>
      <c r="G210" s="5">
        <v>5</v>
      </c>
      <c r="H210" s="7">
        <v>1400.38000488281</v>
      </c>
    </row>
    <row r="211" spans="1:8" x14ac:dyDescent="0.3">
      <c r="A211" s="9">
        <v>39453</v>
      </c>
      <c r="B211" s="10">
        <v>1.2179786597283325E-2</v>
      </c>
      <c r="C211" s="5">
        <v>7.07</v>
      </c>
      <c r="D211" s="5">
        <v>4.0999999999999996</v>
      </c>
      <c r="E211" s="5">
        <f t="shared" si="3"/>
        <v>2.9700000000000006</v>
      </c>
      <c r="F211" s="6">
        <v>1498.3047999999999</v>
      </c>
      <c r="G211" s="5">
        <v>5</v>
      </c>
      <c r="H211" s="7">
        <v>1280</v>
      </c>
    </row>
    <row r="212" spans="1:8" x14ac:dyDescent="0.3">
      <c r="A212" s="9">
        <v>39454</v>
      </c>
      <c r="B212" s="10">
        <v>0</v>
      </c>
      <c r="C212" s="5">
        <v>7.16</v>
      </c>
      <c r="D212" s="5">
        <v>4.01</v>
      </c>
      <c r="E212" s="5">
        <f t="shared" si="3"/>
        <v>3.1500000000000004</v>
      </c>
      <c r="F212" s="6">
        <v>1512.2657999999999</v>
      </c>
      <c r="G212" s="5">
        <v>5</v>
      </c>
      <c r="H212" s="7">
        <v>1267.38000488281</v>
      </c>
    </row>
    <row r="213" spans="1:8" x14ac:dyDescent="0.3">
      <c r="A213" s="9">
        <v>39455</v>
      </c>
      <c r="B213" s="10">
        <v>2.158196301676776E-2</v>
      </c>
      <c r="C213" s="5">
        <v>7.15</v>
      </c>
      <c r="D213" s="5">
        <v>3.89</v>
      </c>
      <c r="E213" s="5">
        <f t="shared" si="3"/>
        <v>3.2600000000000002</v>
      </c>
      <c r="F213" s="6">
        <v>1512.8681999999999</v>
      </c>
      <c r="G213" s="5">
        <v>5</v>
      </c>
      <c r="H213" s="7">
        <v>1282.82995605468</v>
      </c>
    </row>
    <row r="214" spans="1:8" x14ac:dyDescent="0.3">
      <c r="A214" s="9">
        <v>39456</v>
      </c>
      <c r="B214" s="10">
        <v>0.12891882356409348</v>
      </c>
      <c r="C214" s="5">
        <v>7.31</v>
      </c>
      <c r="D214" s="5">
        <v>3.69</v>
      </c>
      <c r="E214" s="5">
        <f t="shared" si="3"/>
        <v>3.6199999999999997</v>
      </c>
      <c r="F214" s="6">
        <v>1530.4048</v>
      </c>
      <c r="G214" s="5">
        <v>5</v>
      </c>
      <c r="H214" s="7">
        <v>1166.35998535156</v>
      </c>
    </row>
    <row r="215" spans="1:8" x14ac:dyDescent="0.3">
      <c r="A215" s="9">
        <v>39457</v>
      </c>
      <c r="B215" s="10">
        <v>-3.5192600380019472E-2</v>
      </c>
      <c r="C215" s="5">
        <v>8.8800000000000008</v>
      </c>
      <c r="D215" s="5">
        <v>3.81</v>
      </c>
      <c r="E215" s="5">
        <f t="shared" si="3"/>
        <v>5.07</v>
      </c>
      <c r="F215" s="6">
        <v>1586.9164000000001</v>
      </c>
      <c r="G215" s="5">
        <v>4.55</v>
      </c>
      <c r="H215" s="7">
        <v>968.75</v>
      </c>
    </row>
    <row r="216" spans="1:8" x14ac:dyDescent="0.3">
      <c r="A216" s="9">
        <v>39458</v>
      </c>
      <c r="B216" s="10">
        <v>6.1117669666792995E-2</v>
      </c>
      <c r="C216" s="5">
        <v>9.2100000000000009</v>
      </c>
      <c r="D216" s="5">
        <v>3.53</v>
      </c>
      <c r="E216" s="5">
        <f t="shared" si="3"/>
        <v>5.6800000000000015</v>
      </c>
      <c r="F216" s="6">
        <v>1576.3300999999999</v>
      </c>
      <c r="G216" s="5">
        <v>4</v>
      </c>
      <c r="H216" s="7">
        <v>896.239990234375</v>
      </c>
    </row>
    <row r="217" spans="1:8" x14ac:dyDescent="0.3">
      <c r="A217" s="9">
        <v>39459</v>
      </c>
      <c r="B217" s="10">
        <v>-2.5894828925139727E-2</v>
      </c>
      <c r="C217" s="5">
        <v>8.43</v>
      </c>
      <c r="D217" s="5">
        <v>2.42</v>
      </c>
      <c r="E217" s="5">
        <f t="shared" si="3"/>
        <v>6.01</v>
      </c>
      <c r="F217" s="6">
        <v>1559.194</v>
      </c>
      <c r="G217" s="5">
        <v>3.61</v>
      </c>
      <c r="H217" s="7">
        <v>903.25</v>
      </c>
    </row>
    <row r="218" spans="1:8" x14ac:dyDescent="0.3">
      <c r="A218" s="9">
        <v>39814</v>
      </c>
      <c r="B218" s="10">
        <v>2.7643627856926804E-2</v>
      </c>
      <c r="C218" s="5">
        <v>8.14</v>
      </c>
      <c r="D218" s="5">
        <v>2.52</v>
      </c>
      <c r="E218" s="5">
        <f t="shared" si="3"/>
        <v>5.620000000000001</v>
      </c>
      <c r="F218" s="6">
        <v>1544.5985000000001</v>
      </c>
      <c r="G218" s="5">
        <v>3.25</v>
      </c>
      <c r="H218" s="7">
        <v>825.88000488281205</v>
      </c>
    </row>
    <row r="219" spans="1:8" x14ac:dyDescent="0.3">
      <c r="A219" s="9">
        <v>39815</v>
      </c>
      <c r="B219" s="10">
        <v>0</v>
      </c>
      <c r="C219" s="5">
        <v>8.08</v>
      </c>
      <c r="D219" s="5">
        <v>2.87</v>
      </c>
      <c r="E219" s="5">
        <f t="shared" si="3"/>
        <v>5.21</v>
      </c>
      <c r="F219" s="6">
        <v>1532.4425000000001</v>
      </c>
      <c r="G219" s="5">
        <v>3.25</v>
      </c>
      <c r="H219" s="7">
        <v>735.09002685546795</v>
      </c>
    </row>
    <row r="220" spans="1:8" x14ac:dyDescent="0.3">
      <c r="A220" s="9">
        <v>39816</v>
      </c>
      <c r="B220" s="10">
        <v>6.7258406691316733E-2</v>
      </c>
      <c r="C220" s="5">
        <v>8.42</v>
      </c>
      <c r="D220" s="5">
        <v>2.82</v>
      </c>
      <c r="E220" s="5">
        <f t="shared" si="3"/>
        <v>5.6</v>
      </c>
      <c r="F220" s="6">
        <v>1511.0127</v>
      </c>
      <c r="G220" s="5">
        <v>3.25</v>
      </c>
      <c r="H220" s="7">
        <v>797.86999511718705</v>
      </c>
    </row>
    <row r="221" spans="1:8" x14ac:dyDescent="0.3">
      <c r="A221" s="9">
        <v>39817</v>
      </c>
      <c r="B221" s="10">
        <v>-3.6163436384961667E-4</v>
      </c>
      <c r="C221" s="5">
        <v>8.39</v>
      </c>
      <c r="D221" s="5">
        <v>2.93</v>
      </c>
      <c r="E221" s="5">
        <f t="shared" si="3"/>
        <v>5.4600000000000009</v>
      </c>
      <c r="F221" s="6">
        <v>1491.6469999999999</v>
      </c>
      <c r="G221" s="5">
        <v>3.25</v>
      </c>
      <c r="H221" s="7">
        <v>872.80999755859295</v>
      </c>
    </row>
    <row r="222" spans="1:8" x14ac:dyDescent="0.3">
      <c r="A222" s="9">
        <v>39818</v>
      </c>
      <c r="B222" s="10">
        <v>0</v>
      </c>
      <c r="C222" s="5">
        <v>8.06</v>
      </c>
      <c r="D222" s="5">
        <v>3.29</v>
      </c>
      <c r="E222" s="5">
        <f t="shared" si="3"/>
        <v>4.7700000000000005</v>
      </c>
      <c r="F222" s="6">
        <v>1469.7131999999999</v>
      </c>
      <c r="G222" s="5">
        <v>3.25</v>
      </c>
      <c r="H222" s="7">
        <v>919.14001464843705</v>
      </c>
    </row>
    <row r="223" spans="1:8" x14ac:dyDescent="0.3">
      <c r="A223" s="9">
        <v>39819</v>
      </c>
      <c r="B223" s="10">
        <v>1.0552855526934614E-2</v>
      </c>
      <c r="C223" s="5">
        <v>7.5</v>
      </c>
      <c r="D223" s="5">
        <v>3.72</v>
      </c>
      <c r="E223" s="5">
        <f t="shared" si="3"/>
        <v>3.78</v>
      </c>
      <c r="F223" s="6">
        <v>1436.3434</v>
      </c>
      <c r="G223" s="5">
        <v>3.25</v>
      </c>
      <c r="H223" s="7">
        <v>919.32000732421795</v>
      </c>
    </row>
    <row r="224" spans="1:8" x14ac:dyDescent="0.3">
      <c r="A224" s="9">
        <v>39820</v>
      </c>
      <c r="B224" s="10">
        <v>0</v>
      </c>
      <c r="C224" s="5">
        <v>7.09</v>
      </c>
      <c r="D224" s="5">
        <v>3.56</v>
      </c>
      <c r="E224" s="5">
        <f t="shared" si="3"/>
        <v>3.53</v>
      </c>
      <c r="F224" s="6">
        <v>1395.4735000000001</v>
      </c>
      <c r="G224" s="5">
        <v>3.25</v>
      </c>
      <c r="H224" s="7">
        <v>987.47998046875</v>
      </c>
    </row>
    <row r="225" spans="1:8" x14ac:dyDescent="0.3">
      <c r="A225" s="9">
        <v>39821</v>
      </c>
      <c r="B225" s="10">
        <v>1.6807787901649732E-2</v>
      </c>
      <c r="C225" s="5">
        <v>6.58</v>
      </c>
      <c r="D225" s="5">
        <v>3.59</v>
      </c>
      <c r="E225" s="5">
        <f t="shared" si="3"/>
        <v>2.99</v>
      </c>
      <c r="F225" s="6">
        <v>1362.9194</v>
      </c>
      <c r="G225" s="5">
        <v>3.25</v>
      </c>
      <c r="H225" s="7">
        <v>1020.61999511718</v>
      </c>
    </row>
    <row r="226" spans="1:8" x14ac:dyDescent="0.3">
      <c r="A226" s="9">
        <v>39822</v>
      </c>
      <c r="B226" s="10">
        <v>-2.0957523557027818E-2</v>
      </c>
      <c r="C226" s="5">
        <v>6.31</v>
      </c>
      <c r="D226" s="5">
        <v>3.4</v>
      </c>
      <c r="E226" s="5">
        <f t="shared" si="3"/>
        <v>2.9099999999999997</v>
      </c>
      <c r="F226" s="6">
        <v>1337.3367000000001</v>
      </c>
      <c r="G226" s="5">
        <v>3.25</v>
      </c>
      <c r="H226" s="7">
        <v>1057.07995605468</v>
      </c>
    </row>
    <row r="227" spans="1:8" x14ac:dyDescent="0.3">
      <c r="A227" s="9">
        <v>39823</v>
      </c>
      <c r="B227" s="10">
        <v>0</v>
      </c>
      <c r="C227" s="5">
        <v>6.29</v>
      </c>
      <c r="D227" s="5">
        <v>3.39</v>
      </c>
      <c r="E227" s="5">
        <f t="shared" si="3"/>
        <v>2.9</v>
      </c>
      <c r="F227" s="6">
        <v>1308.1789000000001</v>
      </c>
      <c r="G227" s="5">
        <v>3.25</v>
      </c>
      <c r="H227" s="7">
        <v>1036.18994140625</v>
      </c>
    </row>
    <row r="228" spans="1:8" x14ac:dyDescent="0.3">
      <c r="A228" s="9">
        <v>39824</v>
      </c>
      <c r="B228" s="10">
        <v>-3.2584369349868643E-2</v>
      </c>
      <c r="C228" s="5">
        <v>6.32</v>
      </c>
      <c r="D228" s="5">
        <v>3.4</v>
      </c>
      <c r="E228" s="5">
        <f t="shared" si="3"/>
        <v>2.9200000000000004</v>
      </c>
      <c r="F228" s="6">
        <v>1290.6774</v>
      </c>
      <c r="G228" s="5">
        <v>3.25</v>
      </c>
      <c r="H228" s="7">
        <v>1095.63000488281</v>
      </c>
    </row>
    <row r="229" spans="1:8" x14ac:dyDescent="0.3">
      <c r="A229" s="9">
        <v>39825</v>
      </c>
      <c r="B229" s="10">
        <v>-2.6955079678550199E-2</v>
      </c>
      <c r="C229" s="5">
        <v>6.37</v>
      </c>
      <c r="D229" s="5">
        <v>3.59</v>
      </c>
      <c r="E229" s="5">
        <f t="shared" si="3"/>
        <v>2.7800000000000002</v>
      </c>
      <c r="F229" s="6">
        <v>1265.5793000000001</v>
      </c>
      <c r="G229" s="5">
        <v>3.25</v>
      </c>
      <c r="H229" s="7">
        <v>1115.09997558593</v>
      </c>
    </row>
    <row r="230" spans="1:8" x14ac:dyDescent="0.3">
      <c r="A230" s="9">
        <v>40179</v>
      </c>
      <c r="B230" s="10">
        <v>1.1994444576297357E-2</v>
      </c>
      <c r="C230" s="5">
        <v>6.25</v>
      </c>
      <c r="D230" s="5">
        <v>3.73</v>
      </c>
      <c r="E230" s="5">
        <f t="shared" si="3"/>
        <v>2.52</v>
      </c>
      <c r="F230" s="6">
        <v>1238.5211999999999</v>
      </c>
      <c r="G230" s="5">
        <v>3.25</v>
      </c>
      <c r="H230" s="7">
        <v>1073.86999511718</v>
      </c>
    </row>
    <row r="231" spans="1:8" x14ac:dyDescent="0.3">
      <c r="A231" s="9">
        <v>40180</v>
      </c>
      <c r="B231" s="10">
        <v>0</v>
      </c>
      <c r="C231" s="5">
        <v>6.34</v>
      </c>
      <c r="D231" s="5">
        <v>3.69</v>
      </c>
      <c r="E231" s="5">
        <f t="shared" si="3"/>
        <v>2.65</v>
      </c>
      <c r="F231" s="6">
        <v>1223.367</v>
      </c>
      <c r="G231" s="5">
        <v>3.25</v>
      </c>
      <c r="H231" s="7">
        <v>1104.48999023437</v>
      </c>
    </row>
    <row r="232" spans="1:8" x14ac:dyDescent="0.3">
      <c r="A232" s="9">
        <v>40181</v>
      </c>
      <c r="B232" s="10">
        <v>-1.8650599338397481E-2</v>
      </c>
      <c r="C232" s="5">
        <v>6.27</v>
      </c>
      <c r="D232" s="5">
        <v>3.73</v>
      </c>
      <c r="E232" s="5">
        <f t="shared" si="3"/>
        <v>2.5399999999999996</v>
      </c>
      <c r="F232" s="6">
        <v>1209.7429</v>
      </c>
      <c r="G232" s="5">
        <v>3.25</v>
      </c>
      <c r="H232" s="7">
        <v>1169.43005371093</v>
      </c>
    </row>
    <row r="233" spans="1:8" x14ac:dyDescent="0.3">
      <c r="A233" s="9">
        <v>40182</v>
      </c>
      <c r="B233" s="10">
        <v>-1.702020124474736E-2</v>
      </c>
      <c r="C233" s="5">
        <v>6.25</v>
      </c>
      <c r="D233" s="5">
        <v>3.85</v>
      </c>
      <c r="E233" s="5">
        <f t="shared" si="3"/>
        <v>2.4</v>
      </c>
      <c r="F233" s="6">
        <v>1207.5428999999999</v>
      </c>
      <c r="G233" s="5">
        <v>3.25</v>
      </c>
      <c r="H233" s="7">
        <v>1186.68994140625</v>
      </c>
    </row>
    <row r="234" spans="1:8" x14ac:dyDescent="0.3">
      <c r="A234" s="9">
        <v>40183</v>
      </c>
      <c r="B234" s="10">
        <v>0</v>
      </c>
      <c r="C234" s="5">
        <v>6.05</v>
      </c>
      <c r="D234" s="5">
        <v>3.42</v>
      </c>
      <c r="E234" s="5">
        <f t="shared" si="3"/>
        <v>2.63</v>
      </c>
      <c r="F234" s="6">
        <v>1196.9215999999999</v>
      </c>
      <c r="G234" s="5">
        <v>3.25</v>
      </c>
      <c r="H234" s="7">
        <v>1089.41003417968</v>
      </c>
    </row>
    <row r="235" spans="1:8" x14ac:dyDescent="0.3">
      <c r="A235" s="9">
        <v>40184</v>
      </c>
      <c r="B235" s="10">
        <v>7.1662426822602073E-4</v>
      </c>
      <c r="C235" s="5">
        <v>6.23</v>
      </c>
      <c r="D235" s="5">
        <v>3.2</v>
      </c>
      <c r="E235" s="5">
        <f t="shared" si="3"/>
        <v>3.0300000000000002</v>
      </c>
      <c r="F235" s="6">
        <v>1190.1483000000001</v>
      </c>
      <c r="G235" s="5">
        <v>3.25</v>
      </c>
      <c r="H235" s="7">
        <v>1030.7099609375</v>
      </c>
    </row>
    <row r="236" spans="1:8" x14ac:dyDescent="0.3">
      <c r="A236" s="9">
        <v>40185</v>
      </c>
      <c r="B236" s="10">
        <v>0</v>
      </c>
      <c r="C236" s="5">
        <v>6.01</v>
      </c>
      <c r="D236" s="5">
        <v>3.01</v>
      </c>
      <c r="E236" s="5">
        <f t="shared" si="3"/>
        <v>3</v>
      </c>
      <c r="F236" s="6">
        <v>1189.0278000000001</v>
      </c>
      <c r="G236" s="5">
        <v>3.25</v>
      </c>
      <c r="H236" s="7">
        <v>1101.59997558593</v>
      </c>
    </row>
    <row r="237" spans="1:8" x14ac:dyDescent="0.3">
      <c r="A237" s="9">
        <v>40186</v>
      </c>
      <c r="B237" s="10">
        <v>-5.2941348833317262E-3</v>
      </c>
      <c r="C237" s="5">
        <v>5.66</v>
      </c>
      <c r="D237" s="5">
        <v>2.7</v>
      </c>
      <c r="E237" s="5">
        <f t="shared" si="3"/>
        <v>2.96</v>
      </c>
      <c r="F237" s="6">
        <v>1187.4701</v>
      </c>
      <c r="G237" s="5">
        <v>3.25</v>
      </c>
      <c r="H237" s="7">
        <v>1049.32995605468</v>
      </c>
    </row>
    <row r="238" spans="1:8" x14ac:dyDescent="0.3">
      <c r="A238" s="9">
        <v>40187</v>
      </c>
      <c r="B238" s="10">
        <v>-8.3891614648813444E-3</v>
      </c>
      <c r="C238" s="5">
        <v>5.66</v>
      </c>
      <c r="D238" s="5">
        <v>2.65</v>
      </c>
      <c r="E238" s="5">
        <f t="shared" si="3"/>
        <v>3.0100000000000002</v>
      </c>
      <c r="F238" s="6">
        <v>1185.7276999999999</v>
      </c>
      <c r="G238" s="5">
        <v>3.25</v>
      </c>
      <c r="H238" s="7">
        <v>1141.19995117187</v>
      </c>
    </row>
    <row r="239" spans="1:8" x14ac:dyDescent="0.3">
      <c r="A239" s="9">
        <v>40188</v>
      </c>
      <c r="B239" s="10">
        <v>0</v>
      </c>
      <c r="C239" s="5">
        <v>5.72</v>
      </c>
      <c r="D239" s="5">
        <v>2.54</v>
      </c>
      <c r="E239" s="5">
        <f t="shared" si="3"/>
        <v>3.1799999999999997</v>
      </c>
      <c r="F239" s="6">
        <v>1185.2038</v>
      </c>
      <c r="G239" s="5">
        <v>3.25</v>
      </c>
      <c r="H239" s="7">
        <v>1183.26000976562</v>
      </c>
    </row>
    <row r="240" spans="1:8" x14ac:dyDescent="0.3">
      <c r="A240" s="9">
        <v>40189</v>
      </c>
      <c r="B240" s="10">
        <v>-1.3199698224557015E-2</v>
      </c>
      <c r="C240" s="5">
        <v>5.92</v>
      </c>
      <c r="D240" s="5">
        <v>2.76</v>
      </c>
      <c r="E240" s="5">
        <f t="shared" si="3"/>
        <v>3.16</v>
      </c>
      <c r="F240" s="6">
        <v>1187.5082</v>
      </c>
      <c r="G240" s="5">
        <v>3.25</v>
      </c>
      <c r="H240" s="7">
        <v>1180.55004882812</v>
      </c>
    </row>
    <row r="241" spans="1:8" x14ac:dyDescent="0.3">
      <c r="A241" s="9">
        <v>40190</v>
      </c>
      <c r="B241" s="10">
        <v>2.5543181768112543E-3</v>
      </c>
      <c r="C241" s="5">
        <v>6.1</v>
      </c>
      <c r="D241" s="5">
        <v>3.29</v>
      </c>
      <c r="E241" s="5">
        <f t="shared" si="3"/>
        <v>2.8099999999999996</v>
      </c>
      <c r="F241" s="6">
        <v>1192.7013999999999</v>
      </c>
      <c r="G241" s="5">
        <v>3.25</v>
      </c>
      <c r="H241" s="7">
        <v>1257.64001464843</v>
      </c>
    </row>
    <row r="242" spans="1:8" x14ac:dyDescent="0.3">
      <c r="A242" s="9">
        <v>40544</v>
      </c>
      <c r="B242" s="10">
        <v>-3.0656089981524252E-2</v>
      </c>
      <c r="C242" s="5">
        <v>6.09</v>
      </c>
      <c r="D242" s="5">
        <v>3.39</v>
      </c>
      <c r="E242" s="5">
        <f t="shared" si="3"/>
        <v>2.6999999999999997</v>
      </c>
      <c r="F242" s="6">
        <v>1195.9351999999999</v>
      </c>
      <c r="G242" s="5">
        <v>3.25</v>
      </c>
      <c r="H242" s="7">
        <v>1286.11999511718</v>
      </c>
    </row>
    <row r="243" spans="1:8" x14ac:dyDescent="0.3">
      <c r="A243" s="9">
        <v>40545</v>
      </c>
      <c r="B243" s="10">
        <v>0</v>
      </c>
      <c r="C243" s="5">
        <v>6.15</v>
      </c>
      <c r="D243" s="5">
        <v>3.58</v>
      </c>
      <c r="E243" s="5">
        <f t="shared" si="3"/>
        <v>2.5700000000000003</v>
      </c>
      <c r="F243" s="6">
        <v>1199.5471</v>
      </c>
      <c r="G243" s="5">
        <v>3.25</v>
      </c>
      <c r="H243" s="7">
        <v>1327.21997070312</v>
      </c>
    </row>
    <row r="244" spans="1:8" x14ac:dyDescent="0.3">
      <c r="A244" s="9">
        <v>40546</v>
      </c>
      <c r="B244" s="10">
        <v>-1.8585677896521102E-2</v>
      </c>
      <c r="C244" s="5">
        <v>6.03</v>
      </c>
      <c r="D244" s="5">
        <v>3.41</v>
      </c>
      <c r="E244" s="5">
        <f t="shared" si="3"/>
        <v>2.62</v>
      </c>
      <c r="F244" s="6">
        <v>1206.4413</v>
      </c>
      <c r="G244" s="5">
        <v>3.25</v>
      </c>
      <c r="H244" s="7">
        <v>1325.82995605468</v>
      </c>
    </row>
    <row r="245" spans="1:8" x14ac:dyDescent="0.3">
      <c r="A245" s="9">
        <v>40547</v>
      </c>
      <c r="B245" s="10">
        <v>-1.4138760090350465E-2</v>
      </c>
      <c r="C245" s="5">
        <v>6.02</v>
      </c>
      <c r="D245" s="5">
        <v>3.46</v>
      </c>
      <c r="E245" s="5">
        <f t="shared" si="3"/>
        <v>2.5599999999999996</v>
      </c>
      <c r="F245" s="6">
        <v>1214.9147</v>
      </c>
      <c r="G245" s="5">
        <v>3.25</v>
      </c>
      <c r="H245" s="7">
        <v>1363.60998535156</v>
      </c>
    </row>
    <row r="246" spans="1:8" x14ac:dyDescent="0.3">
      <c r="A246" s="9">
        <v>40548</v>
      </c>
      <c r="B246" s="10">
        <v>0</v>
      </c>
      <c r="C246" s="5">
        <v>5.78</v>
      </c>
      <c r="D246" s="5">
        <v>3.17</v>
      </c>
      <c r="E246" s="5">
        <f t="shared" si="3"/>
        <v>2.6100000000000003</v>
      </c>
      <c r="F246" s="6">
        <v>1229.0589</v>
      </c>
      <c r="G246" s="5">
        <v>3.25</v>
      </c>
      <c r="H246" s="7">
        <v>1345.19995117187</v>
      </c>
    </row>
    <row r="247" spans="1:8" x14ac:dyDescent="0.3">
      <c r="A247" s="9">
        <v>40549</v>
      </c>
      <c r="B247" s="10">
        <v>-4.6047810621779291E-3</v>
      </c>
      <c r="C247" s="5">
        <v>5.75</v>
      </c>
      <c r="D247" s="5">
        <v>3</v>
      </c>
      <c r="E247" s="5">
        <f t="shared" si="3"/>
        <v>2.75</v>
      </c>
      <c r="F247" s="6">
        <v>1233.6241</v>
      </c>
      <c r="G247" s="5">
        <v>3.25</v>
      </c>
      <c r="H247" s="7">
        <v>1320.64001464843</v>
      </c>
    </row>
    <row r="248" spans="1:8" x14ac:dyDescent="0.3">
      <c r="A248" s="9">
        <v>40550</v>
      </c>
      <c r="B248" s="10">
        <v>0</v>
      </c>
      <c r="C248" s="5">
        <v>5.76</v>
      </c>
      <c r="D248" s="5">
        <v>3</v>
      </c>
      <c r="E248" s="5">
        <f t="shared" si="3"/>
        <v>2.76</v>
      </c>
      <c r="F248" s="6">
        <v>1244.3308999999999</v>
      </c>
      <c r="G248" s="5">
        <v>3.25</v>
      </c>
      <c r="H248" s="7">
        <v>1292.28002929687</v>
      </c>
    </row>
    <row r="249" spans="1:8" x14ac:dyDescent="0.3">
      <c r="A249" s="9">
        <v>40551</v>
      </c>
      <c r="B249" s="10">
        <v>9.4258734618028715E-3</v>
      </c>
      <c r="C249" s="5">
        <v>5.36</v>
      </c>
      <c r="D249" s="5">
        <v>2.2999999999999998</v>
      </c>
      <c r="E249" s="5">
        <f t="shared" si="3"/>
        <v>3.0600000000000005</v>
      </c>
      <c r="F249" s="6">
        <v>1263.0844</v>
      </c>
      <c r="G249" s="5">
        <v>3.25</v>
      </c>
      <c r="H249" s="7">
        <v>1218.89001464843</v>
      </c>
    </row>
    <row r="250" spans="1:8" x14ac:dyDescent="0.3">
      <c r="A250" s="9">
        <v>40552</v>
      </c>
      <c r="B250" s="10">
        <v>1.3756713899828073E-2</v>
      </c>
      <c r="C250" s="5">
        <v>5.27</v>
      </c>
      <c r="D250" s="5">
        <v>1.98</v>
      </c>
      <c r="E250" s="5">
        <f t="shared" si="3"/>
        <v>3.2899999999999996</v>
      </c>
      <c r="F250" s="6">
        <v>1269.5994000000001</v>
      </c>
      <c r="G250" s="5">
        <v>3.25</v>
      </c>
      <c r="H250" s="7">
        <v>1131.42004394531</v>
      </c>
    </row>
    <row r="251" spans="1:8" x14ac:dyDescent="0.3">
      <c r="A251" s="9">
        <v>40553</v>
      </c>
      <c r="B251" s="10">
        <v>0</v>
      </c>
      <c r="C251" s="5">
        <v>5.37</v>
      </c>
      <c r="D251" s="5">
        <v>2.15</v>
      </c>
      <c r="E251" s="5">
        <f t="shared" si="3"/>
        <v>3.22</v>
      </c>
      <c r="F251" s="6">
        <v>1280.3982000000001</v>
      </c>
      <c r="G251" s="5">
        <v>3.25</v>
      </c>
      <c r="H251" s="7">
        <v>1253.30004882812</v>
      </c>
    </row>
    <row r="252" spans="1:8" x14ac:dyDescent="0.3">
      <c r="A252" s="9">
        <v>40554</v>
      </c>
      <c r="B252" s="10">
        <v>-5.5028104898054968E-3</v>
      </c>
      <c r="C252" s="5">
        <v>5.14</v>
      </c>
      <c r="D252" s="5">
        <v>2.0099999999999998</v>
      </c>
      <c r="E252" s="5">
        <f t="shared" si="3"/>
        <v>3.13</v>
      </c>
      <c r="F252" s="6">
        <v>1293.2356</v>
      </c>
      <c r="G252" s="5">
        <v>3.25</v>
      </c>
      <c r="H252" s="7">
        <v>1246.9599609375</v>
      </c>
    </row>
    <row r="253" spans="1:8" x14ac:dyDescent="0.3">
      <c r="A253" s="9">
        <v>40555</v>
      </c>
      <c r="B253" s="10">
        <v>-2.9205470239967338E-2</v>
      </c>
      <c r="C253" s="5">
        <v>5.25</v>
      </c>
      <c r="D253" s="5">
        <v>1.98</v>
      </c>
      <c r="E253" s="5">
        <f t="shared" si="3"/>
        <v>3.27</v>
      </c>
      <c r="F253" s="6">
        <v>1304.0391</v>
      </c>
      <c r="G253" s="5">
        <v>3.25</v>
      </c>
      <c r="H253" s="7">
        <v>1257.59997558593</v>
      </c>
    </row>
    <row r="254" spans="1:8" x14ac:dyDescent="0.3">
      <c r="A254" s="9">
        <v>40909</v>
      </c>
      <c r="B254" s="10">
        <v>8.8362781005073276E-3</v>
      </c>
      <c r="C254" s="5">
        <v>5.23</v>
      </c>
      <c r="D254" s="5">
        <v>1.97</v>
      </c>
      <c r="E254" s="5">
        <f t="shared" si="3"/>
        <v>3.2600000000000007</v>
      </c>
      <c r="F254" s="6">
        <v>1321.3179</v>
      </c>
      <c r="G254" s="5">
        <v>3.25</v>
      </c>
      <c r="H254" s="7">
        <v>1312.41003417968</v>
      </c>
    </row>
    <row r="255" spans="1:8" x14ac:dyDescent="0.3">
      <c r="A255" s="9">
        <v>40910</v>
      </c>
      <c r="B255" s="10">
        <v>0</v>
      </c>
      <c r="C255" s="5">
        <v>5.14</v>
      </c>
      <c r="D255" s="5">
        <v>1.97</v>
      </c>
      <c r="E255" s="5">
        <f t="shared" si="3"/>
        <v>3.17</v>
      </c>
      <c r="F255" s="6">
        <v>1344.1777999999999</v>
      </c>
      <c r="G255" s="5">
        <v>3.25</v>
      </c>
      <c r="H255" s="7">
        <v>1365.68005371093</v>
      </c>
    </row>
    <row r="256" spans="1:8" x14ac:dyDescent="0.3">
      <c r="A256" s="9">
        <v>40911</v>
      </c>
      <c r="B256" s="10">
        <v>7.5974759995284698E-3</v>
      </c>
      <c r="C256" s="5">
        <v>5.23</v>
      </c>
      <c r="D256" s="5">
        <v>2.17</v>
      </c>
      <c r="E256" s="5">
        <f t="shared" si="3"/>
        <v>3.0600000000000005</v>
      </c>
      <c r="F256" s="6">
        <v>1350.492</v>
      </c>
      <c r="G256" s="5">
        <v>3.25</v>
      </c>
      <c r="H256" s="7">
        <v>1408.46997070312</v>
      </c>
    </row>
    <row r="257" spans="1:8" x14ac:dyDescent="0.3">
      <c r="A257" s="9">
        <v>40912</v>
      </c>
      <c r="B257" s="10">
        <v>1.8357098408865725E-2</v>
      </c>
      <c r="C257" s="5">
        <v>5.19</v>
      </c>
      <c r="D257" s="5">
        <v>2.0499999999999998</v>
      </c>
      <c r="E257" s="5">
        <f t="shared" si="3"/>
        <v>3.1400000000000006</v>
      </c>
      <c r="F257" s="6">
        <v>1368.5956000000001</v>
      </c>
      <c r="G257" s="5">
        <v>3.25</v>
      </c>
      <c r="H257" s="7">
        <v>1397.91003417968</v>
      </c>
    </row>
    <row r="258" spans="1:8" x14ac:dyDescent="0.3">
      <c r="A258" s="9">
        <v>40913</v>
      </c>
      <c r="B258" s="10">
        <v>0</v>
      </c>
      <c r="C258" s="5">
        <v>5.07</v>
      </c>
      <c r="D258" s="5">
        <v>1.8</v>
      </c>
      <c r="E258" s="5">
        <f t="shared" si="3"/>
        <v>3.2700000000000005</v>
      </c>
      <c r="F258" s="6">
        <v>1379.0397</v>
      </c>
      <c r="G258" s="5">
        <v>3.25</v>
      </c>
      <c r="H258" s="7">
        <v>1310.32995605468</v>
      </c>
    </row>
    <row r="259" spans="1:8" x14ac:dyDescent="0.3">
      <c r="A259" s="9">
        <v>40914</v>
      </c>
      <c r="B259" s="10">
        <v>1.589185406089668E-2</v>
      </c>
      <c r="C259" s="5">
        <v>5.0199999999999996</v>
      </c>
      <c r="D259" s="5">
        <v>1.62</v>
      </c>
      <c r="E259" s="5">
        <f t="shared" ref="E259:E301" si="4">C259-D259</f>
        <v>3.3999999999999995</v>
      </c>
      <c r="F259" s="6">
        <v>1397.9730999999999</v>
      </c>
      <c r="G259" s="5">
        <v>3.25</v>
      </c>
      <c r="H259" s="7">
        <v>1362.16003417968</v>
      </c>
    </row>
    <row r="260" spans="1:8" x14ac:dyDescent="0.3">
      <c r="A260" s="9">
        <v>40915</v>
      </c>
      <c r="B260" s="10">
        <v>0</v>
      </c>
      <c r="C260" s="5">
        <v>4.87</v>
      </c>
      <c r="D260" s="5">
        <v>1.53</v>
      </c>
      <c r="E260" s="5">
        <f t="shared" si="4"/>
        <v>3.34</v>
      </c>
      <c r="F260" s="6">
        <v>1413.7810999999999</v>
      </c>
      <c r="G260" s="5">
        <v>3.25</v>
      </c>
      <c r="H260" s="7">
        <v>1379.31994628906</v>
      </c>
    </row>
    <row r="261" spans="1:8" x14ac:dyDescent="0.3">
      <c r="A261" s="9">
        <v>40916</v>
      </c>
      <c r="B261" s="10">
        <v>1.661287192401615E-2</v>
      </c>
      <c r="C261" s="5">
        <v>4.91</v>
      </c>
      <c r="D261" s="5">
        <v>1.68</v>
      </c>
      <c r="E261" s="5">
        <f t="shared" si="4"/>
        <v>3.2300000000000004</v>
      </c>
      <c r="F261" s="6">
        <v>1425.6215</v>
      </c>
      <c r="G261" s="5">
        <v>3.25</v>
      </c>
      <c r="H261" s="7">
        <v>1406.57995605468</v>
      </c>
    </row>
    <row r="262" spans="1:8" x14ac:dyDescent="0.3">
      <c r="A262" s="9">
        <v>40917</v>
      </c>
      <c r="B262" s="10">
        <v>3.1242424386650515E-2</v>
      </c>
      <c r="C262" s="5">
        <v>4.84</v>
      </c>
      <c r="D262" s="5">
        <v>1.72</v>
      </c>
      <c r="E262" s="5">
        <f t="shared" si="4"/>
        <v>3.12</v>
      </c>
      <c r="F262" s="6">
        <v>1434.3309999999999</v>
      </c>
      <c r="G262" s="5">
        <v>3.25</v>
      </c>
      <c r="H262" s="7">
        <v>1440.67004394531</v>
      </c>
    </row>
    <row r="263" spans="1:8" x14ac:dyDescent="0.3">
      <c r="A263" s="9">
        <v>40918</v>
      </c>
      <c r="B263" s="10">
        <v>1.6179309510346726E-2</v>
      </c>
      <c r="C263" s="5">
        <v>4.58</v>
      </c>
      <c r="D263" s="5">
        <v>1.75</v>
      </c>
      <c r="E263" s="5">
        <f t="shared" si="4"/>
        <v>2.83</v>
      </c>
      <c r="F263" s="6">
        <v>1449.5834</v>
      </c>
      <c r="G263" s="5">
        <v>3.25</v>
      </c>
      <c r="H263" s="7">
        <v>1412.16003417968</v>
      </c>
    </row>
    <row r="264" spans="1:8" x14ac:dyDescent="0.3">
      <c r="A264" s="9">
        <v>40919</v>
      </c>
      <c r="B264" s="10">
        <v>0</v>
      </c>
      <c r="C264" s="5">
        <v>4.51</v>
      </c>
      <c r="D264" s="5">
        <v>1.65</v>
      </c>
      <c r="E264" s="5">
        <f t="shared" si="4"/>
        <v>2.86</v>
      </c>
      <c r="F264" s="6">
        <v>1457.5771</v>
      </c>
      <c r="G264" s="5">
        <v>3.25</v>
      </c>
      <c r="H264" s="7">
        <v>1416.18005371093</v>
      </c>
    </row>
    <row r="265" spans="1:8" x14ac:dyDescent="0.3">
      <c r="A265" s="9">
        <v>40920</v>
      </c>
      <c r="B265" s="10">
        <v>1.7256235095771701E-2</v>
      </c>
      <c r="C265" s="5">
        <v>4.63</v>
      </c>
      <c r="D265" s="5">
        <v>1.72</v>
      </c>
      <c r="E265" s="5">
        <f t="shared" si="4"/>
        <v>2.91</v>
      </c>
      <c r="F265" s="6">
        <v>1474.5891999999999</v>
      </c>
      <c r="G265" s="5">
        <v>3.25</v>
      </c>
      <c r="H265" s="7">
        <v>1426.18994140625</v>
      </c>
    </row>
    <row r="266" spans="1:8" x14ac:dyDescent="0.3">
      <c r="A266" s="9">
        <v>41275</v>
      </c>
      <c r="B266" s="10">
        <v>1.1153930004877455E-2</v>
      </c>
      <c r="C266" s="5">
        <v>4.7300000000000004</v>
      </c>
      <c r="D266" s="5">
        <v>1.91</v>
      </c>
      <c r="E266" s="5">
        <f t="shared" si="4"/>
        <v>2.8200000000000003</v>
      </c>
      <c r="F266" s="6">
        <v>1485.1014</v>
      </c>
      <c r="G266" s="5">
        <v>3.25</v>
      </c>
      <c r="H266" s="7">
        <v>1498.10998535156</v>
      </c>
    </row>
    <row r="267" spans="1:8" x14ac:dyDescent="0.3">
      <c r="A267" s="9">
        <v>41276</v>
      </c>
      <c r="B267" s="10">
        <v>0</v>
      </c>
      <c r="C267" s="5">
        <v>4.8499999999999996</v>
      </c>
      <c r="D267" s="5">
        <v>1.98</v>
      </c>
      <c r="E267" s="5">
        <f t="shared" si="4"/>
        <v>2.8699999999999997</v>
      </c>
      <c r="F267" s="6">
        <v>1491.2673</v>
      </c>
      <c r="G267" s="5">
        <v>3.25</v>
      </c>
      <c r="H267" s="7">
        <v>1514.68005371093</v>
      </c>
    </row>
    <row r="268" spans="1:8" x14ac:dyDescent="0.3">
      <c r="A268" s="9">
        <v>41277</v>
      </c>
      <c r="B268" s="10">
        <v>2.6447902089091719E-2</v>
      </c>
      <c r="C268" s="5">
        <v>4.8499999999999996</v>
      </c>
      <c r="D268" s="5">
        <v>1.96</v>
      </c>
      <c r="E268" s="5">
        <f t="shared" si="4"/>
        <v>2.8899999999999997</v>
      </c>
      <c r="F268" s="6">
        <v>1499.1859999999999</v>
      </c>
      <c r="G268" s="5">
        <v>3.25</v>
      </c>
      <c r="H268" s="7">
        <v>1569.18994140625</v>
      </c>
    </row>
    <row r="269" spans="1:8" x14ac:dyDescent="0.3">
      <c r="A269" s="9">
        <v>41278</v>
      </c>
      <c r="B269" s="10">
        <v>0</v>
      </c>
      <c r="C269" s="5">
        <v>4.59</v>
      </c>
      <c r="D269" s="5">
        <v>1.76</v>
      </c>
      <c r="E269" s="5">
        <f t="shared" si="4"/>
        <v>2.83</v>
      </c>
      <c r="F269" s="6">
        <v>1507.451</v>
      </c>
      <c r="G269" s="5">
        <v>3.25</v>
      </c>
      <c r="H269" s="7">
        <v>1597.56994628906</v>
      </c>
    </row>
    <row r="270" spans="1:8" x14ac:dyDescent="0.3">
      <c r="A270" s="9">
        <v>41279</v>
      </c>
      <c r="B270" s="10">
        <v>3.0212176265493277E-2</v>
      </c>
      <c r="C270" s="5">
        <v>4.7300000000000004</v>
      </c>
      <c r="D270" s="5">
        <v>1.93</v>
      </c>
      <c r="E270" s="5">
        <f t="shared" si="4"/>
        <v>2.8000000000000007</v>
      </c>
      <c r="F270" s="6">
        <v>1510.4217000000001</v>
      </c>
      <c r="G270" s="5">
        <v>3.25</v>
      </c>
      <c r="H270" s="7">
        <v>1630.73999023437</v>
      </c>
    </row>
    <row r="271" spans="1:8" x14ac:dyDescent="0.3">
      <c r="A271" s="9">
        <v>41280</v>
      </c>
      <c r="B271" s="10">
        <v>2.0617573923858608E-2</v>
      </c>
      <c r="C271" s="5">
        <v>5.19</v>
      </c>
      <c r="D271" s="5">
        <v>2.2999999999999998</v>
      </c>
      <c r="E271" s="5">
        <f t="shared" si="4"/>
        <v>2.8900000000000006</v>
      </c>
      <c r="F271" s="6">
        <v>1521.7516000000001</v>
      </c>
      <c r="G271" s="5">
        <v>3.25</v>
      </c>
      <c r="H271" s="7">
        <v>1606.28002929687</v>
      </c>
    </row>
    <row r="272" spans="1:8" x14ac:dyDescent="0.3">
      <c r="A272" s="9">
        <v>41281</v>
      </c>
      <c r="B272" s="10">
        <v>2.6108121634076734E-3</v>
      </c>
      <c r="C272" s="5">
        <v>5.32</v>
      </c>
      <c r="D272" s="5">
        <v>2.58</v>
      </c>
      <c r="E272" s="5">
        <f t="shared" si="4"/>
        <v>2.74</v>
      </c>
      <c r="F272" s="6">
        <v>1531.8942</v>
      </c>
      <c r="G272" s="5">
        <v>3.25</v>
      </c>
      <c r="H272" s="7">
        <v>1685.72998046875</v>
      </c>
    </row>
    <row r="273" spans="1:8" x14ac:dyDescent="0.3">
      <c r="A273" s="9">
        <v>41282</v>
      </c>
      <c r="B273" s="10">
        <v>0</v>
      </c>
      <c r="C273" s="5">
        <v>5.42</v>
      </c>
      <c r="D273" s="5">
        <v>2.74</v>
      </c>
      <c r="E273" s="5">
        <f t="shared" si="4"/>
        <v>2.6799999999999997</v>
      </c>
      <c r="F273" s="6">
        <v>1533.0979</v>
      </c>
      <c r="G273" s="5">
        <v>3.25</v>
      </c>
      <c r="H273" s="7">
        <v>1632.96997070312</v>
      </c>
    </row>
    <row r="274" spans="1:8" x14ac:dyDescent="0.3">
      <c r="A274" s="9">
        <v>41283</v>
      </c>
      <c r="B274" s="10">
        <v>1.7822548966521495E-2</v>
      </c>
      <c r="C274" s="5">
        <v>5.47</v>
      </c>
      <c r="D274" s="5">
        <v>2.81</v>
      </c>
      <c r="E274" s="5">
        <f t="shared" si="4"/>
        <v>2.6599999999999997</v>
      </c>
      <c r="F274" s="6">
        <v>1540.0041000000001</v>
      </c>
      <c r="G274" s="5">
        <v>3.25</v>
      </c>
      <c r="H274" s="7">
        <v>1681.55004882812</v>
      </c>
    </row>
    <row r="275" spans="1:8" x14ac:dyDescent="0.3">
      <c r="A275" s="9">
        <v>41284</v>
      </c>
      <c r="B275" s="10">
        <v>6.793061429887135E-4</v>
      </c>
      <c r="C275" s="5">
        <v>5.31</v>
      </c>
      <c r="D275" s="5">
        <v>2.62</v>
      </c>
      <c r="E275" s="5">
        <f t="shared" si="4"/>
        <v>2.6899999999999995</v>
      </c>
      <c r="F275" s="6">
        <v>1549.6383000000001</v>
      </c>
      <c r="G275" s="5">
        <v>3.25</v>
      </c>
      <c r="H275" s="7">
        <v>1756.5400390625</v>
      </c>
    </row>
    <row r="276" spans="1:8" x14ac:dyDescent="0.3">
      <c r="A276" s="9">
        <v>41285</v>
      </c>
      <c r="B276" s="10">
        <v>0</v>
      </c>
      <c r="C276" s="5">
        <v>5.38</v>
      </c>
      <c r="D276" s="5">
        <v>2.72</v>
      </c>
      <c r="E276" s="5">
        <f t="shared" si="4"/>
        <v>2.6599999999999997</v>
      </c>
      <c r="F276" s="6">
        <v>1558.8508999999999</v>
      </c>
      <c r="G276" s="5">
        <v>3.25</v>
      </c>
      <c r="H276" s="7">
        <v>1805.81005859375</v>
      </c>
    </row>
    <row r="277" spans="1:8" x14ac:dyDescent="0.3">
      <c r="A277" s="9">
        <v>41286</v>
      </c>
      <c r="B277" s="10">
        <v>1.7991194872374536E-2</v>
      </c>
      <c r="C277" s="5">
        <v>5.38</v>
      </c>
      <c r="D277" s="5">
        <v>2.9</v>
      </c>
      <c r="E277" s="5">
        <f t="shared" si="4"/>
        <v>2.48</v>
      </c>
      <c r="F277" s="6">
        <v>1574.33</v>
      </c>
      <c r="G277" s="5">
        <v>3.25</v>
      </c>
      <c r="H277" s="7">
        <v>1848.35998535156</v>
      </c>
    </row>
    <row r="278" spans="1:8" x14ac:dyDescent="0.3">
      <c r="A278" s="9">
        <v>41640</v>
      </c>
      <c r="B278" s="10">
        <v>2.6381469688184406E-2</v>
      </c>
      <c r="C278" s="5">
        <v>5.19</v>
      </c>
      <c r="D278" s="5">
        <v>2.86</v>
      </c>
      <c r="E278" s="5">
        <f t="shared" si="4"/>
        <v>2.3300000000000005</v>
      </c>
      <c r="F278" s="6">
        <v>1586.7954</v>
      </c>
      <c r="G278" s="5">
        <v>3.25</v>
      </c>
      <c r="H278" s="7">
        <v>1782.58996582031</v>
      </c>
    </row>
    <row r="279" spans="1:8" x14ac:dyDescent="0.3">
      <c r="A279" s="9">
        <v>41641</v>
      </c>
      <c r="B279" s="10">
        <v>0</v>
      </c>
      <c r="C279" s="5">
        <v>5.0999999999999996</v>
      </c>
      <c r="D279" s="5">
        <v>2.71</v>
      </c>
      <c r="E279" s="5">
        <f t="shared" si="4"/>
        <v>2.3899999999999997</v>
      </c>
      <c r="F279" s="6">
        <v>1619.7095999999999</v>
      </c>
      <c r="G279" s="5">
        <v>3.25</v>
      </c>
      <c r="H279" s="7">
        <v>1859.44995117187</v>
      </c>
    </row>
    <row r="280" spans="1:8" x14ac:dyDescent="0.3">
      <c r="A280" s="9">
        <v>41642</v>
      </c>
      <c r="B280" s="10">
        <v>5.2215365585260697E-3</v>
      </c>
      <c r="C280" s="5">
        <v>5.0599999999999996</v>
      </c>
      <c r="D280" s="5">
        <v>2.72</v>
      </c>
      <c r="E280" s="5">
        <f t="shared" si="4"/>
        <v>2.3399999999999994</v>
      </c>
      <c r="F280" s="6">
        <v>1633.3176000000001</v>
      </c>
      <c r="G280" s="5">
        <v>3.25</v>
      </c>
      <c r="H280" s="7">
        <v>1872.33996582031</v>
      </c>
    </row>
    <row r="281" spans="1:8" x14ac:dyDescent="0.3">
      <c r="A281" s="9">
        <v>41643</v>
      </c>
      <c r="B281" s="10">
        <v>-1.1174776189933554E-2</v>
      </c>
      <c r="C281" s="5">
        <v>4.9000000000000004</v>
      </c>
      <c r="D281" s="5">
        <v>2.71</v>
      </c>
      <c r="E281" s="5">
        <f t="shared" si="4"/>
        <v>2.1900000000000004</v>
      </c>
      <c r="F281" s="6">
        <v>1651.1911</v>
      </c>
      <c r="G281" s="5">
        <v>3.25</v>
      </c>
      <c r="H281" s="7">
        <v>1883.94995117187</v>
      </c>
    </row>
    <row r="282" spans="1:8" x14ac:dyDescent="0.3">
      <c r="A282" s="9">
        <v>41644</v>
      </c>
      <c r="B282" s="10">
        <v>0</v>
      </c>
      <c r="C282" s="5">
        <v>4.76</v>
      </c>
      <c r="D282" s="5">
        <v>2.56</v>
      </c>
      <c r="E282" s="5">
        <f t="shared" si="4"/>
        <v>2.1999999999999997</v>
      </c>
      <c r="F282" s="6">
        <v>1663.6926000000001</v>
      </c>
      <c r="G282" s="5">
        <v>3.25</v>
      </c>
      <c r="H282" s="7">
        <v>1923.56994628906</v>
      </c>
    </row>
    <row r="283" spans="1:8" x14ac:dyDescent="0.3">
      <c r="A283" s="9">
        <v>41645</v>
      </c>
      <c r="B283" s="10">
        <v>-7.4869318318125343E-3</v>
      </c>
      <c r="C283" s="5">
        <v>4.8</v>
      </c>
      <c r="D283" s="5">
        <v>2.6</v>
      </c>
      <c r="E283" s="5">
        <f t="shared" si="4"/>
        <v>2.1999999999999997</v>
      </c>
      <c r="F283" s="6">
        <v>1676.8043</v>
      </c>
      <c r="G283" s="5">
        <v>3.25</v>
      </c>
      <c r="H283" s="7">
        <v>1960.22998046875</v>
      </c>
    </row>
    <row r="284" spans="1:8" x14ac:dyDescent="0.3">
      <c r="A284" s="9">
        <v>41646</v>
      </c>
      <c r="B284" s="10">
        <v>-6.1278676682240199E-3</v>
      </c>
      <c r="C284" s="5">
        <v>4.7300000000000004</v>
      </c>
      <c r="D284" s="5">
        <v>2.54</v>
      </c>
      <c r="E284" s="5">
        <f t="shared" si="4"/>
        <v>2.1900000000000004</v>
      </c>
      <c r="F284" s="6">
        <v>1694.9147</v>
      </c>
      <c r="G284" s="5">
        <v>3.25</v>
      </c>
      <c r="H284" s="7">
        <v>1930.67004394531</v>
      </c>
    </row>
    <row r="285" spans="1:8" x14ac:dyDescent="0.3">
      <c r="A285" s="9">
        <v>41647</v>
      </c>
      <c r="B285" s="10">
        <v>0</v>
      </c>
      <c r="C285" s="5">
        <v>4.6900000000000004</v>
      </c>
      <c r="D285" s="5">
        <v>2.42</v>
      </c>
      <c r="E285" s="5">
        <f t="shared" si="4"/>
        <v>2.2700000000000005</v>
      </c>
      <c r="F285" s="6">
        <v>1711.7561000000001</v>
      </c>
      <c r="G285" s="5">
        <v>3.25</v>
      </c>
      <c r="H285" s="7">
        <v>2003.36999511718</v>
      </c>
    </row>
    <row r="286" spans="1:8" x14ac:dyDescent="0.3">
      <c r="A286" s="9">
        <v>41648</v>
      </c>
      <c r="B286" s="10">
        <v>1.2994034095448886E-2</v>
      </c>
      <c r="C286" s="5">
        <v>4.8</v>
      </c>
      <c r="D286" s="5">
        <v>2.5299999999999998</v>
      </c>
      <c r="E286" s="5">
        <f t="shared" si="4"/>
        <v>2.27</v>
      </c>
      <c r="F286" s="6">
        <v>1725.7351000000001</v>
      </c>
      <c r="G286" s="5">
        <v>3.25</v>
      </c>
      <c r="H286" s="7">
        <v>1972.2900390625</v>
      </c>
    </row>
    <row r="287" spans="1:8" x14ac:dyDescent="0.3">
      <c r="A287" s="9">
        <v>41649</v>
      </c>
      <c r="B287" s="10">
        <v>2.4516691526160577E-2</v>
      </c>
      <c r="C287" s="5">
        <v>4.6900000000000004</v>
      </c>
      <c r="D287" s="5">
        <v>2.2999999999999998</v>
      </c>
      <c r="E287" s="5">
        <f t="shared" si="4"/>
        <v>2.3900000000000006</v>
      </c>
      <c r="F287" s="6">
        <v>1730.8096</v>
      </c>
      <c r="G287" s="5">
        <v>3.25</v>
      </c>
      <c r="H287" s="7">
        <v>2018.05004882812</v>
      </c>
    </row>
    <row r="288" spans="1:8" x14ac:dyDescent="0.3">
      <c r="A288" s="9">
        <v>41650</v>
      </c>
      <c r="B288" s="10">
        <v>0</v>
      </c>
      <c r="C288" s="5">
        <v>4.79</v>
      </c>
      <c r="D288" s="5">
        <v>2.33</v>
      </c>
      <c r="E288" s="5">
        <f t="shared" si="4"/>
        <v>2.46</v>
      </c>
      <c r="F288" s="6">
        <v>1751.6656</v>
      </c>
      <c r="G288" s="5">
        <v>3.25</v>
      </c>
      <c r="H288" s="7">
        <v>2067.56005859375</v>
      </c>
    </row>
    <row r="289" spans="1:8" x14ac:dyDescent="0.3">
      <c r="A289" s="9">
        <v>41651</v>
      </c>
      <c r="B289" s="10">
        <v>2.0315101982351775E-2</v>
      </c>
      <c r="C289" s="5">
        <v>4.74</v>
      </c>
      <c r="D289" s="5">
        <v>2.21</v>
      </c>
      <c r="E289" s="5">
        <f t="shared" si="4"/>
        <v>2.5300000000000002</v>
      </c>
      <c r="F289" s="6">
        <v>1773.1780000000001</v>
      </c>
      <c r="G289" s="5">
        <v>3.25</v>
      </c>
      <c r="H289" s="7">
        <v>2058.89990234375</v>
      </c>
    </row>
    <row r="290" spans="1:8" x14ac:dyDescent="0.3">
      <c r="A290" s="9">
        <v>42005</v>
      </c>
      <c r="B290" s="10">
        <v>1.2165834037313429E-2</v>
      </c>
      <c r="C290" s="5">
        <v>4.45</v>
      </c>
      <c r="D290" s="5">
        <v>1.88</v>
      </c>
      <c r="E290" s="5">
        <f t="shared" si="4"/>
        <v>2.5700000000000003</v>
      </c>
      <c r="F290" s="6">
        <v>1791.5772999999999</v>
      </c>
      <c r="G290" s="5">
        <v>3.25</v>
      </c>
      <c r="H290" s="7">
        <v>1994.98999023437</v>
      </c>
    </row>
    <row r="291" spans="1:8" x14ac:dyDescent="0.3">
      <c r="A291" s="9">
        <v>42006</v>
      </c>
      <c r="B291" s="10">
        <v>0</v>
      </c>
      <c r="C291" s="5">
        <v>4.51</v>
      </c>
      <c r="D291" s="5">
        <v>1.98</v>
      </c>
      <c r="E291" s="5">
        <f t="shared" si="4"/>
        <v>2.5299999999999998</v>
      </c>
      <c r="F291" s="6">
        <v>1807.9304</v>
      </c>
      <c r="G291" s="5">
        <v>3.25</v>
      </c>
      <c r="H291" s="7">
        <v>2104.5</v>
      </c>
    </row>
    <row r="292" spans="1:8" x14ac:dyDescent="0.3">
      <c r="A292" s="9">
        <v>42007</v>
      </c>
      <c r="B292" s="10">
        <v>-1.1657296122197644E-2</v>
      </c>
      <c r="C292" s="5">
        <v>4.54</v>
      </c>
      <c r="D292" s="5">
        <v>2.04</v>
      </c>
      <c r="E292" s="5">
        <f t="shared" si="4"/>
        <v>2.5</v>
      </c>
      <c r="F292" s="6">
        <v>1833.4502</v>
      </c>
      <c r="G292" s="5">
        <v>3.25</v>
      </c>
      <c r="H292" s="7">
        <v>2067.88989257812</v>
      </c>
    </row>
    <row r="293" spans="1:8" x14ac:dyDescent="0.3">
      <c r="A293" s="9">
        <v>42008</v>
      </c>
      <c r="B293" s="10">
        <v>-2.3146456591704285E-3</v>
      </c>
      <c r="C293" s="5">
        <v>4.4800000000000004</v>
      </c>
      <c r="D293" s="5">
        <v>1.94</v>
      </c>
      <c r="E293" s="5">
        <f t="shared" si="4"/>
        <v>2.5400000000000005</v>
      </c>
      <c r="F293" s="6">
        <v>1847.9367999999999</v>
      </c>
      <c r="G293" s="5">
        <v>3.25</v>
      </c>
      <c r="H293" s="7">
        <v>2085.51000976562</v>
      </c>
    </row>
    <row r="294" spans="1:8" x14ac:dyDescent="0.3">
      <c r="A294" s="9">
        <v>42009</v>
      </c>
      <c r="B294" s="10">
        <v>0</v>
      </c>
      <c r="C294" s="5">
        <v>4.8899999999999997</v>
      </c>
      <c r="D294" s="5">
        <v>2.2000000000000002</v>
      </c>
      <c r="E294" s="5">
        <f t="shared" si="4"/>
        <v>2.6899999999999995</v>
      </c>
      <c r="F294" s="6">
        <v>1863.5292999999999</v>
      </c>
      <c r="G294" s="5">
        <v>3.25</v>
      </c>
      <c r="H294" s="7">
        <v>2107.38989257812</v>
      </c>
    </row>
    <row r="295" spans="1:8" x14ac:dyDescent="0.3">
      <c r="A295" s="9">
        <v>42010</v>
      </c>
      <c r="B295" s="10">
        <v>4.6784479858438073E-3</v>
      </c>
      <c r="C295" s="5">
        <v>5.13</v>
      </c>
      <c r="D295" s="5">
        <v>2.36</v>
      </c>
      <c r="E295" s="5">
        <f t="shared" si="4"/>
        <v>2.77</v>
      </c>
      <c r="F295" s="6">
        <v>1880.1555000000001</v>
      </c>
      <c r="G295" s="5">
        <v>3.25</v>
      </c>
      <c r="H295" s="7">
        <v>2063.11010742187</v>
      </c>
    </row>
    <row r="296" spans="1:8" x14ac:dyDescent="0.3">
      <c r="A296" s="9">
        <v>42011</v>
      </c>
      <c r="B296" s="10">
        <v>1.186267704812124E-2</v>
      </c>
      <c r="C296" s="5">
        <v>5.2</v>
      </c>
      <c r="D296" s="5">
        <v>2.3199999999999998</v>
      </c>
      <c r="E296" s="5">
        <f t="shared" si="4"/>
        <v>2.8800000000000003</v>
      </c>
      <c r="F296" s="6">
        <v>1889.5042000000001</v>
      </c>
      <c r="G296" s="5">
        <v>3.25</v>
      </c>
      <c r="H296" s="7">
        <v>2103.84008789062</v>
      </c>
    </row>
    <row r="297" spans="1:8" x14ac:dyDescent="0.3">
      <c r="A297" s="9">
        <v>42012</v>
      </c>
      <c r="B297" s="10">
        <v>0</v>
      </c>
      <c r="C297" s="5">
        <v>5.19</v>
      </c>
      <c r="D297" s="5">
        <v>2.17</v>
      </c>
      <c r="E297" s="5">
        <f t="shared" si="4"/>
        <v>3.0200000000000005</v>
      </c>
      <c r="F297" s="6">
        <v>1903.4103</v>
      </c>
      <c r="G297" s="5">
        <v>3.25</v>
      </c>
      <c r="H297" s="7">
        <v>1972.18005371093</v>
      </c>
    </row>
    <row r="298" spans="1:8" x14ac:dyDescent="0.3">
      <c r="A298" s="9">
        <v>42013</v>
      </c>
      <c r="B298" s="10">
        <v>-2.9973191247055171E-2</v>
      </c>
      <c r="C298" s="5">
        <v>5.34</v>
      </c>
      <c r="D298" s="5">
        <v>2.17</v>
      </c>
      <c r="E298" s="5">
        <f t="shared" si="4"/>
        <v>3.17</v>
      </c>
      <c r="F298" s="6">
        <v>1915.348</v>
      </c>
      <c r="G298" s="5">
        <v>3.25</v>
      </c>
      <c r="H298" s="7">
        <v>1920.03002929687</v>
      </c>
    </row>
    <row r="299" spans="1:8" x14ac:dyDescent="0.3">
      <c r="A299" s="9">
        <v>42014</v>
      </c>
      <c r="B299" s="10">
        <v>4.8470496656468104E-2</v>
      </c>
      <c r="C299" s="5">
        <v>5.34</v>
      </c>
      <c r="D299" s="5">
        <v>2.0699999999999998</v>
      </c>
      <c r="E299" s="5">
        <f t="shared" si="4"/>
        <v>3.27</v>
      </c>
      <c r="F299" s="6">
        <v>1930.1677</v>
      </c>
      <c r="G299" s="5">
        <v>3.25</v>
      </c>
      <c r="H299" s="7">
        <v>2079.36010742187</v>
      </c>
    </row>
    <row r="300" spans="1:8" x14ac:dyDescent="0.3">
      <c r="A300" s="9">
        <v>42015</v>
      </c>
      <c r="B300" s="10">
        <v>0</v>
      </c>
      <c r="C300" s="5">
        <v>5.46</v>
      </c>
      <c r="D300" s="5">
        <v>2.2599999999999998</v>
      </c>
      <c r="E300" s="5">
        <f t="shared" si="4"/>
        <v>3.2</v>
      </c>
      <c r="F300" s="6">
        <v>1946.3666000000001</v>
      </c>
      <c r="G300" s="5">
        <v>3.25</v>
      </c>
      <c r="H300" s="7">
        <v>2080.40991210937</v>
      </c>
    </row>
    <row r="301" spans="1:8" x14ac:dyDescent="0.3">
      <c r="A301" s="9">
        <v>42016</v>
      </c>
      <c r="B301" s="10">
        <v>3.8523904682742215E-2</v>
      </c>
      <c r="C301" s="5">
        <v>5.46</v>
      </c>
      <c r="D301" s="5">
        <v>2.2400000000000002</v>
      </c>
      <c r="E301" s="5">
        <f t="shared" si="4"/>
        <v>3.2199999999999998</v>
      </c>
      <c r="F301" s="6">
        <v>1952.8521000000001</v>
      </c>
      <c r="G301" s="5">
        <v>3.36</v>
      </c>
      <c r="H301" s="7">
        <v>2043.93994140625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10424-C8C0-45C9-9894-2CB78616E150}">
  <dimension ref="A1:G950"/>
  <sheetViews>
    <sheetView workbookViewId="0">
      <selection activeCell="D26" sqref="D26"/>
    </sheetView>
  </sheetViews>
  <sheetFormatPr defaultRowHeight="14.4" x14ac:dyDescent="0.3"/>
  <cols>
    <col min="1" max="1" width="16.5546875" bestFit="1" customWidth="1"/>
    <col min="2" max="2" width="14" customWidth="1"/>
    <col min="3" max="3" width="12.6640625" bestFit="1" customWidth="1"/>
    <col min="4" max="4" width="15.6640625" style="1" bestFit="1" customWidth="1"/>
    <col min="6" max="6" width="9.88671875" bestFit="1" customWidth="1"/>
  </cols>
  <sheetData>
    <row r="1" spans="1:7" x14ac:dyDescent="0.3">
      <c r="A1" s="3" t="s">
        <v>4</v>
      </c>
      <c r="B1" s="3" t="s">
        <v>10</v>
      </c>
      <c r="C1" s="8" t="s">
        <v>11</v>
      </c>
      <c r="D1" s="3" t="s">
        <v>6</v>
      </c>
      <c r="E1" s="3" t="s">
        <v>12</v>
      </c>
      <c r="F1" s="3" t="s">
        <v>13</v>
      </c>
      <c r="G1" s="8" t="s">
        <v>8</v>
      </c>
    </row>
    <row r="2" spans="1:7" x14ac:dyDescent="0.3">
      <c r="A2" s="4">
        <v>22647</v>
      </c>
      <c r="B2" s="5" t="e">
        <f>Monthly!E2-Monthly!#REF!</f>
        <v>#REF!</v>
      </c>
      <c r="C2" s="7">
        <f>SUM(C3:C10)/COUNT(C3:C10)</f>
        <v>0.66093555755372124</v>
      </c>
      <c r="D2" s="7">
        <v>-3.8611630508627699</v>
      </c>
      <c r="E2" s="7" t="e">
        <f>100*(Monthly!#REF!-Monthly!#REF!)</f>
        <v>#REF!</v>
      </c>
      <c r="F2" s="7" t="e">
        <f>100*(Monthly!#REF!-Monthly!#REF!)</f>
        <v>#REF!</v>
      </c>
      <c r="G2" s="7">
        <v>0</v>
      </c>
    </row>
    <row r="3" spans="1:7" x14ac:dyDescent="0.3">
      <c r="A3" s="4">
        <v>22678</v>
      </c>
      <c r="B3" s="5" t="e">
        <f>Monthly!E3-Monthly!#REF!</f>
        <v>#REF!</v>
      </c>
      <c r="C3" s="7">
        <f>100*(LN(Monthly!H3)-LN(Monthly!H2))</f>
        <v>-0.26521259289249421</v>
      </c>
      <c r="D3" s="7">
        <v>1.61387189180291</v>
      </c>
      <c r="E3" s="7" t="e">
        <f>100*(Monthly!#REF!-Monthly!#REF!)</f>
        <v>#REF!</v>
      </c>
      <c r="F3" s="7" t="e">
        <f>100*(Monthly!#REF!-Monthly!#REF!)</f>
        <v>#REF!</v>
      </c>
      <c r="G3" s="7">
        <v>0</v>
      </c>
    </row>
    <row r="4" spans="1:7" x14ac:dyDescent="0.3">
      <c r="A4" s="4">
        <v>22706</v>
      </c>
      <c r="B4" s="5" t="e">
        <f>Monthly!E4-Monthly!#REF!</f>
        <v>#REF!</v>
      </c>
      <c r="C4" s="7">
        <f>100*(LN(Monthly!H4)-LN(Monthly!H3))</f>
        <v>0.5283631707500458</v>
      </c>
      <c r="D4" s="7">
        <v>-0.58776748158932401</v>
      </c>
      <c r="E4" s="7" t="e">
        <f>100*(Monthly!#REF!-Monthly!#REF!)</f>
        <v>#REF!</v>
      </c>
      <c r="F4" s="7" t="e">
        <f>100*(Monthly!#REF!-Monthly!#REF!)</f>
        <v>#REF!</v>
      </c>
      <c r="G4" s="7">
        <v>0</v>
      </c>
    </row>
    <row r="5" spans="1:7" x14ac:dyDescent="0.3">
      <c r="A5" s="4">
        <v>22737</v>
      </c>
      <c r="B5" s="5" t="e">
        <f>Monthly!E5-Monthly!#REF!</f>
        <v>#REF!</v>
      </c>
      <c r="C5" s="7">
        <f>100*(LN(Monthly!H5)-LN(Monthly!H4))</f>
        <v>0.98961785064384244</v>
      </c>
      <c r="D5" s="7">
        <v>-6.3973217239437803</v>
      </c>
      <c r="E5" s="7" t="e">
        <f>100*(Monthly!#REF!-Monthly!#REF!)</f>
        <v>#REF!</v>
      </c>
      <c r="F5" s="7" t="e">
        <f>100*(Monthly!#REF!-Monthly!#REF!)</f>
        <v>#REF!</v>
      </c>
      <c r="G5" s="7">
        <v>0</v>
      </c>
    </row>
    <row r="6" spans="1:7" x14ac:dyDescent="0.3">
      <c r="A6" s="4">
        <v>22767</v>
      </c>
      <c r="B6" s="5" t="e">
        <f>Monthly!E6-Monthly!#REF!</f>
        <v>#REF!</v>
      </c>
      <c r="C6" s="7">
        <f>100*(LN(Monthly!H6)-LN(Monthly!H5))</f>
        <v>0.67464182817711382</v>
      </c>
      <c r="D6" s="7">
        <v>-8.9913923961235405</v>
      </c>
      <c r="E6" s="7" t="e">
        <f>100*(Monthly!#REF!-Monthly!#REF!)</f>
        <v>#REF!</v>
      </c>
      <c r="F6" s="7" t="e">
        <f>100*(Monthly!#REF!-Monthly!#REF!)</f>
        <v>#REF!</v>
      </c>
      <c r="G6" s="7">
        <v>1</v>
      </c>
    </row>
    <row r="7" spans="1:7" x14ac:dyDescent="0.3">
      <c r="A7" s="4">
        <v>22798</v>
      </c>
      <c r="B7" s="5" t="e">
        <f>Monthly!E7-Monthly!#REF!</f>
        <v>#REF!</v>
      </c>
      <c r="C7" s="7">
        <f>100*(LN(Monthly!H7)-LN(Monthly!H6))</f>
        <v>1.5503191573579933</v>
      </c>
      <c r="D7" s="7">
        <v>-8.5381452350784404</v>
      </c>
      <c r="E7" s="7" t="e">
        <f>100*(Monthly!#REF!-Monthly!#REF!)</f>
        <v>#REF!</v>
      </c>
      <c r="F7" s="7" t="e">
        <f>100*(Monthly!#REF!-Monthly!#REF!)</f>
        <v>#REF!</v>
      </c>
      <c r="G7" s="7">
        <v>1</v>
      </c>
    </row>
    <row r="8" spans="1:7" x14ac:dyDescent="0.3">
      <c r="A8" s="4">
        <v>22828</v>
      </c>
      <c r="B8" s="5" t="e">
        <f>Monthly!E8-Monthly!#REF!</f>
        <v>#REF!</v>
      </c>
      <c r="C8" s="7">
        <f>100*(LN(Monthly!H8)-LN(Monthly!H7))</f>
        <v>0.40517779470303772</v>
      </c>
      <c r="D8" s="7">
        <v>6.1623309291115396</v>
      </c>
      <c r="E8" s="7" t="e">
        <f>100*(Monthly!#REF!-Monthly!#REF!)</f>
        <v>#REF!</v>
      </c>
      <c r="F8" s="7" t="e">
        <f>100*(Monthly!#REF!-Monthly!#REF!)</f>
        <v>#REF!</v>
      </c>
      <c r="G8" s="7">
        <v>0</v>
      </c>
    </row>
    <row r="9" spans="1:7" x14ac:dyDescent="0.3">
      <c r="A9" s="4">
        <v>22859</v>
      </c>
      <c r="B9" s="5" t="e">
        <f>Monthly!E9-Monthly!#REF!</f>
        <v>#REF!</v>
      </c>
      <c r="C9" s="7">
        <f>100*(LN(Monthly!H9)-LN(Monthly!H8))</f>
        <v>0.42902318064332867</v>
      </c>
      <c r="D9" s="7">
        <v>1.5168580585318701</v>
      </c>
      <c r="E9" s="7" t="e">
        <f>100*(Monthly!#REF!-Monthly!#REF!)</f>
        <v>#REF!</v>
      </c>
      <c r="F9" s="7" t="e">
        <f>100*(Monthly!#REF!-Monthly!#REF!)</f>
        <v>#REF!</v>
      </c>
      <c r="G9" s="7">
        <v>0</v>
      </c>
    </row>
    <row r="10" spans="1:7" x14ac:dyDescent="0.3">
      <c r="A10" s="4">
        <v>22890</v>
      </c>
      <c r="B10" s="5" t="e">
        <f>Monthly!E10-Monthly!#REF!</f>
        <v>#REF!</v>
      </c>
      <c r="C10" s="7">
        <f>100*(LN(Monthly!H10)-LN(Monthly!H9))</f>
        <v>0.97555407104690239</v>
      </c>
      <c r="D10" s="7">
        <v>-4.9407716992728501</v>
      </c>
      <c r="E10" s="7" t="e">
        <f>100*(Monthly!#REF!-Monthly!#REF!)</f>
        <v>#REF!</v>
      </c>
      <c r="F10" s="7" t="e">
        <f>100*(Monthly!#REF!-Monthly!#REF!)</f>
        <v>#REF!</v>
      </c>
      <c r="G10" s="7">
        <v>0</v>
      </c>
    </row>
    <row r="11" spans="1:7" x14ac:dyDescent="0.3">
      <c r="A11" s="4">
        <v>22920</v>
      </c>
      <c r="B11" s="5" t="e">
        <f>Monthly!E11-Monthly!#REF!</f>
        <v>#REF!</v>
      </c>
      <c r="C11" s="7">
        <f>100*(LN(Monthly!H11)-LN(Monthly!H10))</f>
        <v>1.0192928374440413</v>
      </c>
      <c r="D11" s="7">
        <v>0.44330243351556498</v>
      </c>
      <c r="E11" s="7" t="e">
        <f>100*(Monthly!#REF!-Monthly!#REF!)</f>
        <v>#REF!</v>
      </c>
      <c r="F11" s="7" t="e">
        <f>100*(Monthly!#REF!-Monthly!#REF!)</f>
        <v>#REF!</v>
      </c>
      <c r="G11" s="7">
        <v>1</v>
      </c>
    </row>
    <row r="12" spans="1:7" x14ac:dyDescent="0.3">
      <c r="A12" s="4">
        <v>22951</v>
      </c>
      <c r="B12" s="5" t="e">
        <f>Monthly!E12-Monthly!#REF!</f>
        <v>#REF!</v>
      </c>
      <c r="C12" s="7">
        <f>100*(LN(Monthly!H12)-LN(Monthly!H11))</f>
        <v>0.74663951272895268</v>
      </c>
      <c r="D12" s="7">
        <v>9.6724572138998894</v>
      </c>
      <c r="E12" s="7" t="e">
        <f>100*(Monthly!#REF!-Monthly!#REF!)</f>
        <v>#REF!</v>
      </c>
      <c r="F12" s="7" t="e">
        <f>100*(Monthly!#REF!-Monthly!#REF!)</f>
        <v>#REF!</v>
      </c>
      <c r="G12" s="7">
        <v>0</v>
      </c>
    </row>
    <row r="13" spans="1:7" x14ac:dyDescent="0.3">
      <c r="A13" s="4">
        <v>22981</v>
      </c>
      <c r="B13" s="5" t="e">
        <f>Monthly!E13-Monthly!#REF!</f>
        <v>#REF!</v>
      </c>
      <c r="C13" s="7">
        <f>100*(LN(Monthly!H13)-LN(Monthly!H12))</f>
        <v>0.50255078961205513</v>
      </c>
      <c r="D13" s="7">
        <v>1.3401607310780601</v>
      </c>
      <c r="E13" s="7" t="e">
        <f>100*(Monthly!#REF!-Monthly!#REF!)</f>
        <v>#REF!</v>
      </c>
      <c r="F13" s="7" t="e">
        <f>100*(Monthly!#REF!-Monthly!#REF!)</f>
        <v>#REF!</v>
      </c>
      <c r="G13" s="7">
        <v>0</v>
      </c>
    </row>
    <row r="14" spans="1:7" x14ac:dyDescent="0.3">
      <c r="A14" s="4">
        <v>23012</v>
      </c>
      <c r="B14" s="5" t="e">
        <f>Monthly!E14-Monthly!#REF!</f>
        <v>#REF!</v>
      </c>
      <c r="C14" s="7">
        <f>100*(LN(Monthly!H14)-LN(Monthly!H13))</f>
        <v>0.47255658133669165</v>
      </c>
      <c r="D14" s="7">
        <v>4.7959671478649701</v>
      </c>
      <c r="E14" s="7" t="e">
        <f>100*(Monthly!#REF!-Monthly!#REF!)</f>
        <v>#REF!</v>
      </c>
      <c r="F14" s="7" t="e">
        <f>100*(Monthly!#REF!-Monthly!#REF!)</f>
        <v>#REF!</v>
      </c>
      <c r="G14" s="7">
        <v>0</v>
      </c>
    </row>
    <row r="15" spans="1:7" x14ac:dyDescent="0.3">
      <c r="A15" s="4">
        <v>23043</v>
      </c>
      <c r="B15" s="5" t="e">
        <f>Monthly!E15-Monthly!#REF!</f>
        <v>#REF!</v>
      </c>
      <c r="C15" s="7">
        <f>100*(LN(Monthly!H15)-LN(Monthly!H14))</f>
        <v>0.34997841814559116</v>
      </c>
      <c r="D15" s="7">
        <v>-2.9276304449718502</v>
      </c>
      <c r="E15" s="7" t="e">
        <f>100*(Monthly!#REF!-Monthly!#REF!)</f>
        <v>#REF!</v>
      </c>
      <c r="F15" s="7" t="e">
        <f>100*(Monthly!#REF!-Monthly!#REF!)</f>
        <v>#REF!</v>
      </c>
      <c r="G15" s="7">
        <v>0</v>
      </c>
    </row>
    <row r="16" spans="1:7" x14ac:dyDescent="0.3">
      <c r="A16" s="4">
        <v>23071</v>
      </c>
      <c r="B16" s="5" t="e">
        <f>Monthly!E16-Monthly!#REF!</f>
        <v>#REF!</v>
      </c>
      <c r="C16" s="7">
        <f>100*(LN(Monthly!H16)-LN(Monthly!H15))</f>
        <v>0.30165998369087177</v>
      </c>
      <c r="D16" s="7">
        <v>3.4849908634145899</v>
      </c>
      <c r="E16" s="7" t="e">
        <f>100*(Monthly!#REF!-Monthly!#REF!)</f>
        <v>#REF!</v>
      </c>
      <c r="F16" s="7" t="e">
        <f>100*(Monthly!#REF!-Monthly!#REF!)</f>
        <v>#REF!</v>
      </c>
      <c r="G16" s="7">
        <v>0</v>
      </c>
    </row>
    <row r="17" spans="1:7" x14ac:dyDescent="0.3">
      <c r="A17" s="4">
        <v>23102</v>
      </c>
      <c r="B17" s="5" t="e">
        <f>Monthly!E17-Monthly!#REF!</f>
        <v>#REF!</v>
      </c>
      <c r="C17" s="7">
        <f>100*(LN(Monthly!H17)-LN(Monthly!H16))</f>
        <v>0.86711983913509982</v>
      </c>
      <c r="D17" s="7">
        <v>4.7380032461456096</v>
      </c>
      <c r="E17" s="7" t="e">
        <f>100*(Monthly!#REF!-Monthly!#REF!)</f>
        <v>#REF!</v>
      </c>
      <c r="F17" s="7" t="e">
        <f>100*(Monthly!#REF!-Monthly!#REF!)</f>
        <v>#REF!</v>
      </c>
      <c r="G17" s="7">
        <v>0</v>
      </c>
    </row>
    <row r="18" spans="1:7" x14ac:dyDescent="0.3">
      <c r="A18" s="4">
        <v>23132</v>
      </c>
      <c r="B18" s="5" t="e">
        <f>Monthly!E18-Monthly!#REF!</f>
        <v>#REF!</v>
      </c>
      <c r="C18" s="7">
        <f>100*(LN(Monthly!H18)-LN(Monthly!H17))</f>
        <v>0.53029420225736423</v>
      </c>
      <c r="D18" s="7">
        <v>1.42249903138126</v>
      </c>
      <c r="E18" s="7" t="e">
        <f>100*(Monthly!#REF!-Monthly!#REF!)</f>
        <v>#REF!</v>
      </c>
      <c r="F18" s="7" t="e">
        <f>100*(Monthly!#REF!-Monthly!#REF!)</f>
        <v>#REF!</v>
      </c>
      <c r="G18" s="7">
        <v>0</v>
      </c>
    </row>
    <row r="19" spans="1:7" x14ac:dyDescent="0.3">
      <c r="A19" s="4">
        <v>23163</v>
      </c>
      <c r="B19" s="5" t="e">
        <f>Monthly!E19-Monthly!#REF!</f>
        <v>#REF!</v>
      </c>
      <c r="C19" s="7">
        <f>100*(LN(Monthly!H19)-LN(Monthly!H18))</f>
        <v>1.2215168038420821</v>
      </c>
      <c r="D19" s="7">
        <v>-2.0404506813162602</v>
      </c>
      <c r="E19" s="7" t="e">
        <f>100*(Monthly!#REF!-Monthly!#REF!)</f>
        <v>#REF!</v>
      </c>
      <c r="F19" s="7" t="e">
        <f>100*(Monthly!#REF!-Monthly!#REF!)</f>
        <v>#REF!</v>
      </c>
      <c r="G19" s="7">
        <v>0</v>
      </c>
    </row>
    <row r="20" spans="1:7" x14ac:dyDescent="0.3">
      <c r="A20" s="4">
        <v>23193</v>
      </c>
      <c r="B20" s="5" t="e">
        <f>Monthly!E20-Monthly!#REF!</f>
        <v>#REF!</v>
      </c>
      <c r="C20" s="7">
        <f>100*(LN(Monthly!H20)-LN(Monthly!H19))</f>
        <v>0.44472297404660743</v>
      </c>
      <c r="D20" s="7">
        <v>-0.34657867639433099</v>
      </c>
      <c r="E20" s="7" t="e">
        <f>100*(Monthly!#REF!-Monthly!#REF!)</f>
        <v>#REF!</v>
      </c>
      <c r="F20" s="7" t="e">
        <f>100*(Monthly!#REF!-Monthly!#REF!)</f>
        <v>#REF!</v>
      </c>
      <c r="G20" s="7">
        <v>0</v>
      </c>
    </row>
    <row r="21" spans="1:7" x14ac:dyDescent="0.3">
      <c r="A21" s="4">
        <v>23224</v>
      </c>
      <c r="B21" s="5" t="e">
        <f>Monthly!E21-Monthly!#REF!</f>
        <v>#REF!</v>
      </c>
      <c r="C21" s="7">
        <f>100*(LN(Monthly!H21)-LN(Monthly!H20))</f>
        <v>2.1022162287653856E-2</v>
      </c>
      <c r="D21" s="7">
        <v>4.7597811634137903</v>
      </c>
      <c r="E21" s="7" t="e">
        <f>100*(Monthly!#REF!-Monthly!#REF!)</f>
        <v>#REF!</v>
      </c>
      <c r="F21" s="7" t="e">
        <f>100*(Monthly!#REF!-Monthly!#REF!)</f>
        <v>#REF!</v>
      </c>
      <c r="G21" s="7">
        <v>0</v>
      </c>
    </row>
    <row r="22" spans="1:7" x14ac:dyDescent="0.3">
      <c r="A22" s="4">
        <v>23255</v>
      </c>
      <c r="B22" s="5" t="e">
        <f>Monthly!E22-Monthly!#REF!</f>
        <v>#REF!</v>
      </c>
      <c r="C22" s="7">
        <f>100*(LN(Monthly!H22)-LN(Monthly!H21))</f>
        <v>0.69628163874320137</v>
      </c>
      <c r="D22" s="7">
        <v>-1.10958568179257</v>
      </c>
      <c r="E22" s="7" t="e">
        <f>100*(Monthly!#REF!-Monthly!#REF!)</f>
        <v>#REF!</v>
      </c>
      <c r="F22" s="7" t="e">
        <f>100*(Monthly!#REF!-Monthly!#REF!)</f>
        <v>#REF!</v>
      </c>
      <c r="G22" s="7">
        <v>0</v>
      </c>
    </row>
    <row r="23" spans="1:7" x14ac:dyDescent="0.3">
      <c r="A23" s="4">
        <v>23285</v>
      </c>
      <c r="B23" s="5" t="e">
        <f>Monthly!E23-Monthly!#REF!</f>
        <v>#REF!</v>
      </c>
      <c r="C23" s="7">
        <f>100*(LN(Monthly!H23)-LN(Monthly!H22))</f>
        <v>1.174469969834302</v>
      </c>
      <c r="D23" s="7">
        <v>3.17095430307501</v>
      </c>
      <c r="E23" s="7" t="e">
        <f>100*(Monthly!#REF!-Monthly!#REF!)</f>
        <v>#REF!</v>
      </c>
      <c r="F23" s="7" t="e">
        <f>100*(Monthly!#REF!-Monthly!#REF!)</f>
        <v>#REF!</v>
      </c>
      <c r="G23" s="7">
        <v>0</v>
      </c>
    </row>
    <row r="24" spans="1:7" x14ac:dyDescent="0.3">
      <c r="A24" s="4">
        <v>23316</v>
      </c>
      <c r="B24" s="5" t="e">
        <f>Monthly!E24-Monthly!#REF!</f>
        <v>#REF!</v>
      </c>
      <c r="C24" s="7">
        <f>100*(LN(Monthly!H24)-LN(Monthly!H23))</f>
        <v>1.6273958682170075</v>
      </c>
      <c r="D24" s="7">
        <v>-1.0595029159514699</v>
      </c>
      <c r="E24" s="7" t="e">
        <f>100*(Monthly!#REF!-Monthly!#REF!)</f>
        <v>#REF!</v>
      </c>
      <c r="F24" s="7" t="e">
        <f>100*(Monthly!#REF!-Monthly!#REF!)</f>
        <v>#REF!</v>
      </c>
      <c r="G24" s="7">
        <v>1</v>
      </c>
    </row>
    <row r="25" spans="1:7" x14ac:dyDescent="0.3">
      <c r="A25" s="4">
        <v>23346</v>
      </c>
      <c r="B25" s="5" t="e">
        <f>Monthly!E25-Monthly!#REF!</f>
        <v>#REF!</v>
      </c>
      <c r="C25" s="7">
        <f>100*(LN(Monthly!H25)-LN(Monthly!H24))</f>
        <v>1.8100855567973362</v>
      </c>
      <c r="D25" s="7">
        <v>2.4149480992619501</v>
      </c>
      <c r="E25" s="7" t="e">
        <f>100*(Monthly!#REF!-Monthly!#REF!)</f>
        <v>#REF!</v>
      </c>
      <c r="F25" s="7" t="e">
        <f>100*(Monthly!#REF!-Monthly!#REF!)</f>
        <v>#REF!</v>
      </c>
      <c r="G25" s="7">
        <v>0</v>
      </c>
    </row>
    <row r="26" spans="1:7" x14ac:dyDescent="0.3">
      <c r="A26" s="4">
        <v>23377</v>
      </c>
      <c r="B26" s="5" t="e">
        <f>Monthly!E26-Monthly!#REF!</f>
        <v>#REF!</v>
      </c>
      <c r="C26" s="7">
        <f>100*(LN(Monthly!H26)-LN(Monthly!H25))</f>
        <v>0.46752870011550485</v>
      </c>
      <c r="D26" s="7">
        <v>2.6570079467103902</v>
      </c>
      <c r="E26" s="7" t="e">
        <f>100*(Monthly!#REF!-Monthly!#REF!)</f>
        <v>#REF!</v>
      </c>
      <c r="F26" s="7" t="e">
        <f>100*(Monthly!#REF!-Monthly!#REF!)</f>
        <v>#REF!</v>
      </c>
      <c r="G26" s="7">
        <v>0</v>
      </c>
    </row>
    <row r="27" spans="1:7" x14ac:dyDescent="0.3">
      <c r="A27" s="4">
        <v>23408</v>
      </c>
      <c r="B27" s="5" t="e">
        <f>Monthly!E27-Monthly!#REF!</f>
        <v>#REF!</v>
      </c>
      <c r="C27" s="7">
        <f>100*(LN(Monthly!H27)-LN(Monthly!H26))</f>
        <v>0.24693534690061192</v>
      </c>
      <c r="D27" s="7">
        <v>0.98166910363617699</v>
      </c>
      <c r="E27" s="7" t="e">
        <f>100*(Monthly!#REF!-Monthly!#REF!)</f>
        <v>#REF!</v>
      </c>
      <c r="F27" s="7" t="e">
        <f>100*(Monthly!#REF!-Monthly!#REF!)</f>
        <v>#REF!</v>
      </c>
      <c r="G27" s="7">
        <v>0</v>
      </c>
    </row>
    <row r="28" spans="1:7" x14ac:dyDescent="0.3">
      <c r="A28" s="4">
        <v>23437</v>
      </c>
      <c r="B28" s="5" t="e">
        <f>Monthly!E28-Monthly!#REF!</f>
        <v>#REF!</v>
      </c>
      <c r="C28" s="7">
        <f>100*(LN(Monthly!H28)-LN(Monthly!H27))</f>
        <v>0.31483342412568227</v>
      </c>
      <c r="D28" s="7">
        <v>1.5053227952069199</v>
      </c>
      <c r="E28" s="7" t="e">
        <f>100*(Monthly!#REF!-Monthly!#REF!)</f>
        <v>#REF!</v>
      </c>
      <c r="F28" s="7" t="e">
        <f>100*(Monthly!#REF!-Monthly!#REF!)</f>
        <v>#REF!</v>
      </c>
      <c r="G28" s="7">
        <v>0</v>
      </c>
    </row>
    <row r="29" spans="1:7" x14ac:dyDescent="0.3">
      <c r="A29" s="4">
        <v>23468</v>
      </c>
      <c r="B29" s="5" t="e">
        <f>Monthly!E29-Monthly!#REF!</f>
        <v>#REF!</v>
      </c>
      <c r="C29" s="7">
        <f>100*(LN(Monthly!H29)-LN(Monthly!H28))</f>
        <v>0.97241827242786627</v>
      </c>
      <c r="D29" s="7">
        <v>0.60590405024953398</v>
      </c>
      <c r="E29" s="7" t="e">
        <f>100*(Monthly!#REF!-Monthly!#REF!)</f>
        <v>#REF!</v>
      </c>
      <c r="F29" s="7" t="e">
        <f>100*(Monthly!#REF!-Monthly!#REF!)</f>
        <v>#REF!</v>
      </c>
      <c r="G29" s="7">
        <v>0</v>
      </c>
    </row>
    <row r="30" spans="1:7" x14ac:dyDescent="0.3">
      <c r="A30" s="4">
        <v>23498</v>
      </c>
      <c r="B30" s="5" t="e">
        <f>Monthly!E30-Monthly!#REF!</f>
        <v>#REF!</v>
      </c>
      <c r="C30" s="7">
        <f>100*(LN(Monthly!H30)-LN(Monthly!H29))</f>
        <v>0.96379755812052714</v>
      </c>
      <c r="D30" s="7">
        <v>1.1387267534257599</v>
      </c>
      <c r="E30" s="7" t="e">
        <f>100*(Monthly!#REF!-Monthly!#REF!)</f>
        <v>#REF!</v>
      </c>
      <c r="F30" s="7" t="e">
        <f>100*(Monthly!#REF!-Monthly!#REF!)</f>
        <v>#REF!</v>
      </c>
      <c r="G30" s="7">
        <v>0</v>
      </c>
    </row>
    <row r="31" spans="1:7" x14ac:dyDescent="0.3">
      <c r="A31" s="4">
        <v>23529</v>
      </c>
      <c r="B31" s="5" t="e">
        <f>Monthly!E31-Monthly!#REF!</f>
        <v>#REF!</v>
      </c>
      <c r="C31" s="7">
        <f>100*(LN(Monthly!H31)-LN(Monthly!H30))</f>
        <v>1.0166861918600389</v>
      </c>
      <c r="D31" s="7">
        <v>1.6290618841162701</v>
      </c>
      <c r="E31" s="7" t="e">
        <f>100*(Monthly!#REF!-Monthly!#REF!)</f>
        <v>#REF!</v>
      </c>
      <c r="F31" s="7" t="e">
        <f>100*(Monthly!#REF!-Monthly!#REF!)</f>
        <v>#REF!</v>
      </c>
      <c r="G31" s="7">
        <v>0</v>
      </c>
    </row>
    <row r="32" spans="1:7" x14ac:dyDescent="0.3">
      <c r="A32" s="4">
        <v>23559</v>
      </c>
      <c r="B32" s="5" t="e">
        <f>Monthly!E32-Monthly!#REF!</f>
        <v>#REF!</v>
      </c>
      <c r="C32" s="7">
        <f>100*(LN(Monthly!H32)-LN(Monthly!H31))</f>
        <v>0.77461454971916588</v>
      </c>
      <c r="D32" s="7">
        <v>1.80753127436168</v>
      </c>
      <c r="E32" s="7" t="e">
        <f>100*(Monthly!#REF!-Monthly!#REF!)</f>
        <v>#REF!</v>
      </c>
      <c r="F32" s="7" t="e">
        <f>100*(Monthly!#REF!-Monthly!#REF!)</f>
        <v>#REF!</v>
      </c>
      <c r="G32" s="7">
        <v>0</v>
      </c>
    </row>
    <row r="33" spans="1:7" x14ac:dyDescent="0.3">
      <c r="A33" s="4">
        <v>23590</v>
      </c>
      <c r="B33" s="5" t="e">
        <f>Monthly!E33-Monthly!#REF!</f>
        <v>#REF!</v>
      </c>
      <c r="C33" s="7">
        <f>100*(LN(Monthly!H33)-LN(Monthly!H32))</f>
        <v>0.70788536411789948</v>
      </c>
      <c r="D33" s="7">
        <v>-1.63629910680104</v>
      </c>
      <c r="E33" s="7" t="e">
        <f>100*(Monthly!#REF!-Monthly!#REF!)</f>
        <v>#REF!</v>
      </c>
      <c r="F33" s="7" t="e">
        <f>100*(Monthly!#REF!-Monthly!#REF!)</f>
        <v>#REF!</v>
      </c>
      <c r="G33" s="7">
        <v>0</v>
      </c>
    </row>
    <row r="34" spans="1:7" x14ac:dyDescent="0.3">
      <c r="A34" s="4">
        <v>23621</v>
      </c>
      <c r="B34" s="5" t="e">
        <f>Monthly!E34-Monthly!#REF!</f>
        <v>#REF!</v>
      </c>
      <c r="C34" s="7">
        <f>100*(LN(Monthly!H34)-LN(Monthly!H33))</f>
        <v>1.2090750151286578</v>
      </c>
      <c r="D34" s="7">
        <v>2.8313420052085898</v>
      </c>
      <c r="E34" s="7" t="e">
        <f>100*(Monthly!#REF!-Monthly!#REF!)</f>
        <v>#REF!</v>
      </c>
      <c r="F34" s="7" t="e">
        <f>100*(Monthly!#REF!-Monthly!#REF!)</f>
        <v>#REF!</v>
      </c>
      <c r="G34" s="7">
        <v>0</v>
      </c>
    </row>
    <row r="35" spans="1:7" x14ac:dyDescent="0.3">
      <c r="A35" s="4">
        <v>23651</v>
      </c>
      <c r="B35" s="5" t="e">
        <f>Monthly!E35-Monthly!#REF!</f>
        <v>#REF!</v>
      </c>
      <c r="C35" s="7">
        <f>100*(LN(Monthly!H35)-LN(Monthly!H34))</f>
        <v>0.92071640917579245</v>
      </c>
      <c r="D35" s="7">
        <v>0.80454799989307402</v>
      </c>
      <c r="E35" s="7" t="e">
        <f>100*(Monthly!#REF!-Monthly!#REF!)</f>
        <v>#REF!</v>
      </c>
      <c r="F35" s="7" t="e">
        <f>100*(Monthly!#REF!-Monthly!#REF!)</f>
        <v>#REF!</v>
      </c>
      <c r="G35" s="7">
        <v>0</v>
      </c>
    </row>
    <row r="36" spans="1:7" x14ac:dyDescent="0.3">
      <c r="A36" s="4">
        <v>23682</v>
      </c>
      <c r="B36" s="5" t="e">
        <f>Monthly!E36-Monthly!#REF!</f>
        <v>#REF!</v>
      </c>
      <c r="C36" s="7">
        <f>100*(LN(Monthly!H36)-LN(Monthly!H35))</f>
        <v>1.0110237276242273</v>
      </c>
      <c r="D36" s="7">
        <v>-0.51985283021003603</v>
      </c>
      <c r="E36" s="7" t="e">
        <f>100*(Monthly!#REF!-Monthly!#REF!)</f>
        <v>#REF!</v>
      </c>
      <c r="F36" s="7" t="e">
        <f>100*(Monthly!#REF!-Monthly!#REF!)</f>
        <v>#REF!</v>
      </c>
      <c r="G36" s="7">
        <v>0</v>
      </c>
    </row>
    <row r="37" spans="1:7" x14ac:dyDescent="0.3">
      <c r="A37" s="4">
        <v>23712</v>
      </c>
      <c r="B37" s="5" t="e">
        <f>Monthly!E37-Monthly!#REF!</f>
        <v>#REF!</v>
      </c>
      <c r="C37" s="7">
        <f>100*(LN(Monthly!H37)-LN(Monthly!H36))</f>
        <v>2.5785447310285647</v>
      </c>
      <c r="D37" s="7">
        <v>0.39014275960280898</v>
      </c>
      <c r="E37" s="7" t="e">
        <f>100*(Monthly!#REF!-Monthly!#REF!)</f>
        <v>#REF!</v>
      </c>
      <c r="F37" s="7" t="e">
        <f>100*(Monthly!#REF!-Monthly!#REF!)</f>
        <v>#REF!</v>
      </c>
      <c r="G37" s="7">
        <v>0</v>
      </c>
    </row>
    <row r="38" spans="1:7" x14ac:dyDescent="0.3">
      <c r="A38" s="4">
        <v>23743</v>
      </c>
      <c r="B38" s="5" t="e">
        <f>Monthly!E38-Monthly!#REF!</f>
        <v>#REF!</v>
      </c>
      <c r="C38" s="7">
        <f>100*(LN(Monthly!H38)-LN(Monthly!H37))</f>
        <v>1.5187073665981821</v>
      </c>
      <c r="D38" s="7">
        <v>3.2618498511435998</v>
      </c>
      <c r="E38" s="7" t="e">
        <f>100*(Monthly!#REF!-Monthly!#REF!)</f>
        <v>#REF!</v>
      </c>
      <c r="F38" s="7" t="e">
        <f>100*(Monthly!#REF!-Monthly!#REF!)</f>
        <v>#REF!</v>
      </c>
      <c r="G38" s="7">
        <v>0</v>
      </c>
    </row>
    <row r="39" spans="1:7" x14ac:dyDescent="0.3">
      <c r="A39" s="4">
        <v>23774</v>
      </c>
      <c r="B39" s="5" t="e">
        <f>Monthly!E39-Monthly!#REF!</f>
        <v>#REF!</v>
      </c>
      <c r="C39" s="7">
        <f>100*(LN(Monthly!H39)-LN(Monthly!H38))</f>
        <v>1.3885025979472942</v>
      </c>
      <c r="D39" s="7">
        <v>-0.14857680886804001</v>
      </c>
      <c r="E39" s="7" t="e">
        <f>100*(Monthly!#REF!-Monthly!#REF!)</f>
        <v>#REF!</v>
      </c>
      <c r="F39" s="7" t="e">
        <f>100*(Monthly!#REF!-Monthly!#REF!)</f>
        <v>#REF!</v>
      </c>
      <c r="G39" s="7">
        <v>0</v>
      </c>
    </row>
    <row r="40" spans="1:7" x14ac:dyDescent="0.3">
      <c r="A40" s="4">
        <v>23802</v>
      </c>
      <c r="B40" s="5" t="e">
        <f>Monthly!E40-Monthly!#REF!</f>
        <v>#REF!</v>
      </c>
      <c r="C40" s="7">
        <f>100*(LN(Monthly!H40)-LN(Monthly!H39))</f>
        <v>1.7812977695890631</v>
      </c>
      <c r="D40" s="7">
        <v>-1.46324013315922</v>
      </c>
      <c r="E40" s="7" t="e">
        <f>100*(Monthly!#REF!-Monthly!#REF!)</f>
        <v>#REF!</v>
      </c>
      <c r="F40" s="7" t="e">
        <f>100*(Monthly!#REF!-Monthly!#REF!)</f>
        <v>#REF!</v>
      </c>
      <c r="G40" s="7">
        <v>0</v>
      </c>
    </row>
    <row r="41" spans="1:7" x14ac:dyDescent="0.3">
      <c r="A41" s="4">
        <v>23833</v>
      </c>
      <c r="B41" s="5" t="e">
        <f>Monthly!E41-Monthly!#REF!</f>
        <v>#REF!</v>
      </c>
      <c r="C41" s="7">
        <f>100*(LN(Monthly!H41)-LN(Monthly!H40))</f>
        <v>1.5966984792876282</v>
      </c>
      <c r="D41" s="7">
        <v>3.3665493122322601</v>
      </c>
      <c r="E41" s="7" t="e">
        <f>100*(Monthly!#REF!-Monthly!#REF!)</f>
        <v>#REF!</v>
      </c>
      <c r="F41" s="7" t="e">
        <f>100*(Monthly!#REF!-Monthly!#REF!)</f>
        <v>#REF!</v>
      </c>
      <c r="G41" s="7">
        <v>0</v>
      </c>
    </row>
    <row r="42" spans="1:7" x14ac:dyDescent="0.3">
      <c r="A42" s="4">
        <v>23863</v>
      </c>
      <c r="B42" s="5" t="e">
        <f>Monthly!E42-Monthly!#REF!</f>
        <v>#REF!</v>
      </c>
      <c r="C42" s="7">
        <f>100*(LN(Monthly!H42)-LN(Monthly!H41))</f>
        <v>1.2664682809856664</v>
      </c>
      <c r="D42" s="7">
        <v>-0.77734007845517605</v>
      </c>
      <c r="E42" s="7" t="e">
        <f>100*(Monthly!#REF!-Monthly!#REF!)</f>
        <v>#REF!</v>
      </c>
      <c r="F42" s="7" t="e">
        <f>100*(Monthly!#REF!-Monthly!#REF!)</f>
        <v>#REF!</v>
      </c>
      <c r="G42" s="7">
        <v>0</v>
      </c>
    </row>
    <row r="43" spans="1:7" x14ac:dyDescent="0.3">
      <c r="A43" s="4">
        <v>23894</v>
      </c>
      <c r="B43" s="5" t="e">
        <f>Monthly!E43-Monthly!#REF!</f>
        <v>#REF!</v>
      </c>
      <c r="C43" s="7">
        <f>100*(LN(Monthly!H43)-LN(Monthly!H42))</f>
        <v>1.9297697204242681</v>
      </c>
      <c r="D43" s="7">
        <v>-4.9853784204234</v>
      </c>
      <c r="E43" s="7" t="e">
        <f>100*(Monthly!#REF!-Monthly!#REF!)</f>
        <v>#REF!</v>
      </c>
      <c r="F43" s="7" t="e">
        <f>100*(Monthly!#REF!-Monthly!#REF!)</f>
        <v>#REF!</v>
      </c>
      <c r="G43" s="7">
        <v>0</v>
      </c>
    </row>
    <row r="44" spans="1:7" x14ac:dyDescent="0.3">
      <c r="A44" s="4">
        <v>23924</v>
      </c>
      <c r="B44" s="5" t="e">
        <f>Monthly!E44-Monthly!#REF!</f>
        <v>#REF!</v>
      </c>
      <c r="C44" s="7">
        <f>100*(LN(Monthly!H44)-LN(Monthly!H43))</f>
        <v>1.1458454666464668</v>
      </c>
      <c r="D44" s="7">
        <v>1.33437326783665</v>
      </c>
      <c r="E44" s="7" t="e">
        <f>100*(Monthly!#REF!-Monthly!#REF!)</f>
        <v>#REF!</v>
      </c>
      <c r="F44" s="7" t="e">
        <f>100*(Monthly!#REF!-Monthly!#REF!)</f>
        <v>#REF!</v>
      </c>
      <c r="G44" s="7">
        <v>0</v>
      </c>
    </row>
    <row r="45" spans="1:7" x14ac:dyDescent="0.3">
      <c r="A45" s="4">
        <v>23955</v>
      </c>
      <c r="B45" s="5" t="e">
        <f>Monthly!E45-Monthly!#REF!</f>
        <v>#REF!</v>
      </c>
      <c r="C45" s="7">
        <f>100*(LN(Monthly!H45)-LN(Monthly!H44))</f>
        <v>0.9032842065230362</v>
      </c>
      <c r="D45" s="7">
        <v>2.2272097854298001</v>
      </c>
      <c r="E45" s="7" t="e">
        <f>100*(Monthly!#REF!-Monthly!#REF!)</f>
        <v>#REF!</v>
      </c>
      <c r="F45" s="7" t="e">
        <f>100*(Monthly!#REF!-Monthly!#REF!)</f>
        <v>#REF!</v>
      </c>
      <c r="G45" s="7">
        <v>0</v>
      </c>
    </row>
    <row r="46" spans="1:7" x14ac:dyDescent="0.3">
      <c r="A46" s="4">
        <v>23986</v>
      </c>
      <c r="B46" s="5" t="e">
        <f>Monthly!E46-Monthly!#REF!</f>
        <v>#REF!</v>
      </c>
      <c r="C46" s="7">
        <f>100*(LN(Monthly!H46)-LN(Monthly!H45))</f>
        <v>1.3788301179901374</v>
      </c>
      <c r="D46" s="7">
        <v>3.15049028961415</v>
      </c>
      <c r="E46" s="7" t="e">
        <f>100*(Monthly!#REF!-Monthly!#REF!)</f>
        <v>#REF!</v>
      </c>
      <c r="F46" s="7" t="e">
        <f>100*(Monthly!#REF!-Monthly!#REF!)</f>
        <v>#REF!</v>
      </c>
      <c r="G46" s="7">
        <v>0</v>
      </c>
    </row>
    <row r="47" spans="1:7" x14ac:dyDescent="0.3">
      <c r="A47" s="4">
        <v>24016</v>
      </c>
      <c r="B47" s="5" t="e">
        <f>Monthly!E47-Monthly!#REF!</f>
        <v>#REF!</v>
      </c>
      <c r="C47" s="7">
        <f>100*(LN(Monthly!H47)-LN(Monthly!H46))</f>
        <v>0.99177735904696362</v>
      </c>
      <c r="D47" s="7">
        <v>2.6978268715733602</v>
      </c>
      <c r="E47" s="7" t="e">
        <f>100*(Monthly!#REF!-Monthly!#REF!)</f>
        <v>#REF!</v>
      </c>
      <c r="F47" s="7" t="e">
        <f>100*(Monthly!#REF!-Monthly!#REF!)</f>
        <v>#REF!</v>
      </c>
      <c r="G47" s="7">
        <v>0</v>
      </c>
    </row>
    <row r="48" spans="1:7" x14ac:dyDescent="0.3">
      <c r="A48" s="4">
        <v>24047</v>
      </c>
      <c r="B48" s="5" t="e">
        <f>Monthly!E48-Monthly!#REF!</f>
        <v>#REF!</v>
      </c>
      <c r="C48" s="7">
        <f>100*(LN(Monthly!H48)-LN(Monthly!H47))</f>
        <v>1.0444888879701075</v>
      </c>
      <c r="D48" s="7">
        <v>-0.88029429401827097</v>
      </c>
      <c r="E48" s="7" t="e">
        <f>100*(Monthly!#REF!-Monthly!#REF!)</f>
        <v>#REF!</v>
      </c>
      <c r="F48" s="7" t="e">
        <f>100*(Monthly!#REF!-Monthly!#REF!)</f>
        <v>#REF!</v>
      </c>
      <c r="G48" s="7">
        <v>0</v>
      </c>
    </row>
    <row r="49" spans="1:7" x14ac:dyDescent="0.3">
      <c r="A49" s="4">
        <v>24077</v>
      </c>
      <c r="B49" s="5" t="e">
        <f>Monthly!E49-Monthly!#REF!</f>
        <v>#REF!</v>
      </c>
      <c r="C49" s="7">
        <f>100*(LN(Monthly!H49)-LN(Monthly!H48))</f>
        <v>2.0505905437233629</v>
      </c>
      <c r="D49" s="7">
        <v>0.89111618887659005</v>
      </c>
      <c r="E49" s="7" t="e">
        <f>100*(Monthly!#REF!-Monthly!#REF!)</f>
        <v>#REF!</v>
      </c>
      <c r="F49" s="7" t="e">
        <f>100*(Monthly!#REF!-Monthly!#REF!)</f>
        <v>#REF!</v>
      </c>
      <c r="G49" s="7">
        <v>0</v>
      </c>
    </row>
    <row r="50" spans="1:7" x14ac:dyDescent="0.3">
      <c r="A50" s="4">
        <v>24108</v>
      </c>
      <c r="B50" s="5" t="e">
        <f>Monthly!E50-Monthly!#REF!</f>
        <v>#REF!</v>
      </c>
      <c r="C50" s="7">
        <f>100*(LN(Monthly!H50)-LN(Monthly!H49))</f>
        <v>1.1864380284738907</v>
      </c>
      <c r="D50" s="7">
        <v>0.48567032399564602</v>
      </c>
      <c r="E50" s="7" t="e">
        <f>100*(Monthly!#REF!-Monthly!#REF!)</f>
        <v>#REF!</v>
      </c>
      <c r="F50" s="7" t="e">
        <f>100*(Monthly!#REF!-Monthly!#REF!)</f>
        <v>#REF!</v>
      </c>
      <c r="G50" s="7">
        <v>0</v>
      </c>
    </row>
    <row r="51" spans="1:7" x14ac:dyDescent="0.3">
      <c r="A51" s="4">
        <v>24139</v>
      </c>
      <c r="B51" s="5" t="e">
        <f>Monthly!E51-Monthly!#REF!</f>
        <v>#REF!</v>
      </c>
      <c r="C51" s="7">
        <f>100*(LN(Monthly!H51)-LN(Monthly!H50))</f>
        <v>0.99513070431100914</v>
      </c>
      <c r="D51" s="7">
        <v>-1.8034123152816599</v>
      </c>
      <c r="E51" s="7" t="e">
        <f>100*(Monthly!#REF!-Monthly!#REF!)</f>
        <v>#REF!</v>
      </c>
      <c r="F51" s="7" t="e">
        <f>100*(Monthly!#REF!-Monthly!#REF!)</f>
        <v>#REF!</v>
      </c>
      <c r="G51" s="7">
        <v>0</v>
      </c>
    </row>
    <row r="52" spans="1:7" x14ac:dyDescent="0.3">
      <c r="A52" s="4">
        <v>24167</v>
      </c>
      <c r="B52" s="5" t="e">
        <f>Monthly!E52-Monthly!#REF!</f>
        <v>#REF!</v>
      </c>
      <c r="C52" s="7">
        <f>100*(LN(Monthly!H52)-LN(Monthly!H51))</f>
        <v>1.1786021497946386</v>
      </c>
      <c r="D52" s="7">
        <v>-2.2056841132331102</v>
      </c>
      <c r="E52" s="7" t="e">
        <f>100*(Monthly!#REF!-Monthly!#REF!)</f>
        <v>#REF!</v>
      </c>
      <c r="F52" s="7" t="e">
        <f>100*(Monthly!#REF!-Monthly!#REF!)</f>
        <v>#REF!</v>
      </c>
      <c r="G52" s="7">
        <v>0</v>
      </c>
    </row>
    <row r="53" spans="1:7" x14ac:dyDescent="0.3">
      <c r="A53" s="4">
        <v>24198</v>
      </c>
      <c r="B53" s="5" t="e">
        <f>Monthly!E53-Monthly!#REF!</f>
        <v>#REF!</v>
      </c>
      <c r="C53" s="7">
        <f>100*(LN(Monthly!H53)-LN(Monthly!H52))</f>
        <v>1.1839425324120967</v>
      </c>
      <c r="D53" s="7">
        <v>2.0301259562481802</v>
      </c>
      <c r="E53" s="7" t="e">
        <f>100*(Monthly!#REF!-Monthly!#REF!)</f>
        <v>#REF!</v>
      </c>
      <c r="F53" s="7" t="e">
        <f>100*(Monthly!#REF!-Monthly!#REF!)</f>
        <v>#REF!</v>
      </c>
      <c r="G53" s="7">
        <v>0</v>
      </c>
    </row>
    <row r="54" spans="1:7" x14ac:dyDescent="0.3">
      <c r="A54" s="4">
        <v>24228</v>
      </c>
      <c r="B54" s="5" t="e">
        <f>Monthly!E54-Monthly!#REF!</f>
        <v>#REF!</v>
      </c>
      <c r="C54" s="7">
        <f>100*(LN(Monthly!H54)-LN(Monthly!H53))</f>
        <v>1.310244337785349</v>
      </c>
      <c r="D54" s="7">
        <v>-5.5660852183387703</v>
      </c>
      <c r="E54" s="7" t="e">
        <f>100*(Monthly!#REF!-Monthly!#REF!)</f>
        <v>#REF!</v>
      </c>
      <c r="F54" s="7" t="e">
        <f>100*(Monthly!#REF!-Monthly!#REF!)</f>
        <v>#REF!</v>
      </c>
      <c r="G54" s="7">
        <v>0</v>
      </c>
    </row>
    <row r="55" spans="1:7" x14ac:dyDescent="0.3">
      <c r="A55" s="4">
        <v>24259</v>
      </c>
      <c r="B55" s="5" t="e">
        <f>Monthly!E55-Monthly!#REF!</f>
        <v>#REF!</v>
      </c>
      <c r="C55" s="7">
        <f>100*(LN(Monthly!H55)-LN(Monthly!H54))</f>
        <v>2.7766860615115796</v>
      </c>
      <c r="D55" s="7">
        <v>-1.62700309231062</v>
      </c>
      <c r="E55" s="7" t="e">
        <f>100*(Monthly!#REF!-Monthly!#REF!)</f>
        <v>#REF!</v>
      </c>
      <c r="F55" s="7" t="e">
        <f>100*(Monthly!#REF!-Monthly!#REF!)</f>
        <v>#REF!</v>
      </c>
      <c r="G55" s="7">
        <v>0</v>
      </c>
    </row>
    <row r="56" spans="1:7" x14ac:dyDescent="0.3">
      <c r="A56" s="4">
        <v>24289</v>
      </c>
      <c r="B56" s="5" t="e">
        <f>Monthly!E56-Monthly!#REF!</f>
        <v>#REF!</v>
      </c>
      <c r="C56" s="7">
        <f>100*(LN(Monthly!H56)-LN(Monthly!H55))</f>
        <v>1.8278209796958045</v>
      </c>
      <c r="D56" s="7">
        <v>-1.3544218150663301</v>
      </c>
      <c r="E56" s="7" t="e">
        <f>100*(Monthly!#REF!-Monthly!#REF!)</f>
        <v>#REF!</v>
      </c>
      <c r="F56" s="7" t="e">
        <f>100*(Monthly!#REF!-Monthly!#REF!)</f>
        <v>#REF!</v>
      </c>
      <c r="G56" s="7">
        <v>0</v>
      </c>
    </row>
    <row r="57" spans="1:7" x14ac:dyDescent="0.3">
      <c r="A57" s="4">
        <v>24320</v>
      </c>
      <c r="B57" s="5" t="e">
        <f>Monthly!E57-Monthly!#REF!</f>
        <v>#REF!</v>
      </c>
      <c r="C57" s="7">
        <f>100*(LN(Monthly!H57)-LN(Monthly!H56))</f>
        <v>0.27481459518652329</v>
      </c>
      <c r="D57" s="7">
        <v>-8.0940241060138707</v>
      </c>
      <c r="E57" s="7" t="e">
        <f>100*(Monthly!#REF!-Monthly!#REF!)</f>
        <v>#REF!</v>
      </c>
      <c r="F57" s="7" t="e">
        <f>100*(Monthly!#REF!-Monthly!#REF!)</f>
        <v>#REF!</v>
      </c>
      <c r="G57" s="7">
        <v>1</v>
      </c>
    </row>
    <row r="58" spans="1:7" x14ac:dyDescent="0.3">
      <c r="A58" s="4">
        <v>24351</v>
      </c>
      <c r="B58" s="5" t="e">
        <f>Monthly!E58-Monthly!#REF!</f>
        <v>#REF!</v>
      </c>
      <c r="C58" s="7">
        <f>100*(LN(Monthly!H58)-LN(Monthly!H57))</f>
        <v>0.64007592842578731</v>
      </c>
      <c r="D58" s="7">
        <v>-0.70285455224749105</v>
      </c>
      <c r="E58" s="7" t="e">
        <f>100*(Monthly!#REF!-Monthly!#REF!)</f>
        <v>#REF!</v>
      </c>
      <c r="F58" s="7" t="e">
        <f>100*(Monthly!#REF!-Monthly!#REF!)</f>
        <v>#REF!</v>
      </c>
      <c r="G58" s="7">
        <v>0</v>
      </c>
    </row>
    <row r="59" spans="1:7" x14ac:dyDescent="0.3">
      <c r="A59" s="4">
        <v>24381</v>
      </c>
      <c r="B59" s="5" t="e">
        <f>Monthly!E59-Monthly!#REF!</f>
        <v>#REF!</v>
      </c>
      <c r="C59" s="7">
        <f>100*(LN(Monthly!H59)-LN(Monthly!H58))</f>
        <v>0.67151939142364725</v>
      </c>
      <c r="D59" s="7">
        <v>4.6448761564723</v>
      </c>
      <c r="E59" s="7" t="e">
        <f>100*(Monthly!#REF!-Monthly!#REF!)</f>
        <v>#REF!</v>
      </c>
      <c r="F59" s="7" t="e">
        <f>100*(Monthly!#REF!-Monthly!#REF!)</f>
        <v>#REF!</v>
      </c>
      <c r="G59" s="7">
        <v>1</v>
      </c>
    </row>
    <row r="60" spans="1:7" x14ac:dyDescent="0.3">
      <c r="A60" s="4">
        <v>24412</v>
      </c>
      <c r="B60" s="5" t="e">
        <f>Monthly!E60-Monthly!#REF!</f>
        <v>#REF!</v>
      </c>
      <c r="C60" s="7">
        <f>100*(LN(Monthly!H60)-LN(Monthly!H59))</f>
        <v>0.46322253398258795</v>
      </c>
      <c r="D60" s="7">
        <v>0.31123586841703099</v>
      </c>
      <c r="E60" s="7" t="e">
        <f>100*(Monthly!#REF!-Monthly!#REF!)</f>
        <v>#REF!</v>
      </c>
      <c r="F60" s="7" t="e">
        <f>100*(Monthly!#REF!-Monthly!#REF!)</f>
        <v>#REF!</v>
      </c>
      <c r="G60" s="7">
        <v>0</v>
      </c>
    </row>
    <row r="61" spans="1:7" x14ac:dyDescent="0.3">
      <c r="A61" s="4">
        <v>24442</v>
      </c>
      <c r="B61" s="5" t="e">
        <f>Monthly!E61-Monthly!#REF!</f>
        <v>#REF!</v>
      </c>
      <c r="C61" s="7">
        <f>100*(LN(Monthly!H61)-LN(Monthly!H60))</f>
        <v>0.76696323682163836</v>
      </c>
      <c r="D61" s="7">
        <v>-0.149266252491673</v>
      </c>
      <c r="E61" s="7" t="e">
        <f>100*(Monthly!#REF!-Monthly!#REF!)</f>
        <v>#REF!</v>
      </c>
      <c r="F61" s="7" t="e">
        <f>100*(Monthly!#REF!-Monthly!#REF!)</f>
        <v>#REF!</v>
      </c>
      <c r="G61" s="7">
        <v>0</v>
      </c>
    </row>
    <row r="62" spans="1:7" x14ac:dyDescent="0.3">
      <c r="A62" s="4">
        <v>24473</v>
      </c>
      <c r="B62" s="5" t="e">
        <f>Monthly!E62-Monthly!#REF!</f>
        <v>#REF!</v>
      </c>
      <c r="C62" s="7">
        <f>100*(LN(Monthly!H62)-LN(Monthly!H61))</f>
        <v>0.3766197184731368</v>
      </c>
      <c r="D62" s="7">
        <v>7.5272116410200596</v>
      </c>
      <c r="E62" s="7" t="e">
        <f>100*(Monthly!#REF!-Monthly!#REF!)</f>
        <v>#REF!</v>
      </c>
      <c r="F62" s="7" t="e">
        <f>100*(Monthly!#REF!-Monthly!#REF!)</f>
        <v>#REF!</v>
      </c>
      <c r="G62" s="7">
        <v>0</v>
      </c>
    </row>
    <row r="63" spans="1:7" x14ac:dyDescent="0.3">
      <c r="A63" s="4">
        <v>24504</v>
      </c>
      <c r="B63" s="5" t="e">
        <f>Monthly!E63-Monthly!#REF!</f>
        <v>#REF!</v>
      </c>
      <c r="C63" s="7">
        <f>100*(LN(Monthly!H63)-LN(Monthly!H62))</f>
        <v>0.35761093817683332</v>
      </c>
      <c r="D63" s="7">
        <v>0.196087691348414</v>
      </c>
      <c r="E63" s="7" t="e">
        <f>100*(Monthly!#REF!-Monthly!#REF!)</f>
        <v>#REF!</v>
      </c>
      <c r="F63" s="7" t="e">
        <f>100*(Monthly!#REF!-Monthly!#REF!)</f>
        <v>#REF!</v>
      </c>
      <c r="G63" s="7">
        <v>0</v>
      </c>
    </row>
    <row r="64" spans="1:7" x14ac:dyDescent="0.3">
      <c r="A64" s="4">
        <v>24532</v>
      </c>
      <c r="B64" s="5" t="e">
        <f>Monthly!E64-Monthly!#REF!</f>
        <v>#REF!</v>
      </c>
      <c r="C64" s="7">
        <f>100*(LN(Monthly!H64)-LN(Monthly!H63))</f>
        <v>0.70778866017917608</v>
      </c>
      <c r="D64" s="7">
        <v>3.8653226931778799</v>
      </c>
      <c r="E64" s="7" t="e">
        <f>100*(Monthly!#REF!-Monthly!#REF!)</f>
        <v>#REF!</v>
      </c>
      <c r="F64" s="7" t="e">
        <f>100*(Monthly!#REF!-Monthly!#REF!)</f>
        <v>#REF!</v>
      </c>
      <c r="G64" s="7">
        <v>0</v>
      </c>
    </row>
    <row r="65" spans="1:7" x14ac:dyDescent="0.3">
      <c r="A65" s="4">
        <v>24563</v>
      </c>
      <c r="B65" s="5" t="e">
        <f>Monthly!E65-Monthly!#REF!</f>
        <v>#REF!</v>
      </c>
      <c r="C65" s="7">
        <f>100*(LN(Monthly!H65)-LN(Monthly!H64))</f>
        <v>1.3166299027917994</v>
      </c>
      <c r="D65" s="7">
        <v>4.1371789078555699</v>
      </c>
      <c r="E65" s="7" t="e">
        <f>100*(Monthly!#REF!-Monthly!#REF!)</f>
        <v>#REF!</v>
      </c>
      <c r="F65" s="7" t="e">
        <f>100*(Monthly!#REF!-Monthly!#REF!)</f>
        <v>#REF!</v>
      </c>
      <c r="G65" s="7">
        <v>0</v>
      </c>
    </row>
    <row r="66" spans="1:7" x14ac:dyDescent="0.3">
      <c r="A66" s="4">
        <v>24593</v>
      </c>
      <c r="B66" s="5" t="e">
        <f>Monthly!E66-Monthly!#REF!</f>
        <v>#REF!</v>
      </c>
      <c r="C66" s="7">
        <f>100*(LN(Monthly!H66)-LN(Monthly!H65))</f>
        <v>0.51257213518622891</v>
      </c>
      <c r="D66" s="7">
        <v>-5.3866319369559603</v>
      </c>
      <c r="E66" s="7" t="e">
        <f>100*(Monthly!#REF!-Monthly!#REF!)</f>
        <v>#REF!</v>
      </c>
      <c r="F66" s="7" t="e">
        <f>100*(Monthly!#REF!-Monthly!#REF!)</f>
        <v>#REF!</v>
      </c>
      <c r="G66" s="7">
        <v>0</v>
      </c>
    </row>
    <row r="67" spans="1:7" x14ac:dyDescent="0.3">
      <c r="A67" s="4">
        <v>24624</v>
      </c>
      <c r="B67" s="5" t="e">
        <f>Monthly!E67-Monthly!#REF!</f>
        <v>#REF!</v>
      </c>
      <c r="C67" s="7">
        <f>100*(LN(Monthly!H67)-LN(Monthly!H66))</f>
        <v>1.3277523474331865</v>
      </c>
      <c r="D67" s="7">
        <v>1.73607470416133</v>
      </c>
      <c r="E67" s="7" t="e">
        <f>100*(Monthly!#REF!-Monthly!#REF!)</f>
        <v>#REF!</v>
      </c>
      <c r="F67" s="7" t="e">
        <f>100*(Monthly!#REF!-Monthly!#REF!)</f>
        <v>#REF!</v>
      </c>
      <c r="G67" s="7">
        <v>0</v>
      </c>
    </row>
    <row r="68" spans="1:7" x14ac:dyDescent="0.3">
      <c r="A68" s="4">
        <v>24654</v>
      </c>
      <c r="B68" s="5" t="e">
        <f>Monthly!E68-Monthly!#REF!</f>
        <v>#REF!</v>
      </c>
      <c r="C68" s="7">
        <f>100*(LN(Monthly!H68)-LN(Monthly!H67))</f>
        <v>1.2524498564201458</v>
      </c>
      <c r="D68" s="7">
        <v>4.4346233976584202</v>
      </c>
      <c r="E68" s="7" t="e">
        <f>100*(Monthly!#REF!-Monthly!#REF!)</f>
        <v>#REF!</v>
      </c>
      <c r="F68" s="7" t="e">
        <f>100*(Monthly!#REF!-Monthly!#REF!)</f>
        <v>#REF!</v>
      </c>
      <c r="G68" s="7">
        <v>0</v>
      </c>
    </row>
    <row r="69" spans="1:7" x14ac:dyDescent="0.3">
      <c r="A69" s="4">
        <v>24685</v>
      </c>
      <c r="B69" s="5" t="e">
        <f>Monthly!E69-Monthly!#REF!</f>
        <v>#REF!</v>
      </c>
      <c r="C69" s="7">
        <f>100*(LN(Monthly!H69)-LN(Monthly!H68))</f>
        <v>-0.2664318031815327</v>
      </c>
      <c r="D69" s="7">
        <v>-1.1784207857890201</v>
      </c>
      <c r="E69" s="7" t="e">
        <f>100*(Monthly!#REF!-Monthly!#REF!)</f>
        <v>#REF!</v>
      </c>
      <c r="F69" s="7" t="e">
        <f>100*(Monthly!#REF!-Monthly!#REF!)</f>
        <v>#REF!</v>
      </c>
      <c r="G69" s="7">
        <v>0</v>
      </c>
    </row>
    <row r="70" spans="1:7" x14ac:dyDescent="0.3">
      <c r="A70" s="4">
        <v>24716</v>
      </c>
      <c r="B70" s="5" t="e">
        <f>Monthly!E70-Monthly!#REF!</f>
        <v>#REF!</v>
      </c>
      <c r="C70" s="7">
        <f>100*(LN(Monthly!H70)-LN(Monthly!H69))</f>
        <v>0.2681037284513188</v>
      </c>
      <c r="D70" s="7">
        <v>3.2259164157497602</v>
      </c>
      <c r="E70" s="7" t="e">
        <f>100*(Monthly!#REF!-Monthly!#REF!)</f>
        <v>#REF!</v>
      </c>
      <c r="F70" s="7" t="e">
        <f>100*(Monthly!#REF!-Monthly!#REF!)</f>
        <v>#REF!</v>
      </c>
      <c r="G70" s="7">
        <v>0</v>
      </c>
    </row>
    <row r="71" spans="1:7" x14ac:dyDescent="0.3">
      <c r="A71" s="4">
        <v>24746</v>
      </c>
      <c r="B71" s="5" t="e">
        <f>Monthly!E71-Monthly!#REF!</f>
        <v>#REF!</v>
      </c>
      <c r="C71" s="7">
        <f>100*(LN(Monthly!H71)-LN(Monthly!H70))</f>
        <v>0.43827315972677638</v>
      </c>
      <c r="D71" s="7">
        <v>-3.58966596997583</v>
      </c>
      <c r="E71" s="7" t="e">
        <f>100*(Monthly!#REF!-Monthly!#REF!)</f>
        <v>#REF!</v>
      </c>
      <c r="F71" s="7" t="e">
        <f>100*(Monthly!#REF!-Monthly!#REF!)</f>
        <v>#REF!</v>
      </c>
      <c r="G71" s="7">
        <v>0</v>
      </c>
    </row>
    <row r="72" spans="1:7" x14ac:dyDescent="0.3">
      <c r="A72" s="4">
        <v>24777</v>
      </c>
      <c r="B72" s="5" t="e">
        <f>Monthly!E72-Monthly!#REF!</f>
        <v>#REF!</v>
      </c>
      <c r="C72" s="7">
        <f>100*(LN(Monthly!H72)-LN(Monthly!H71))</f>
        <v>0.58281068013785742</v>
      </c>
      <c r="D72" s="7">
        <v>0.74746417076194205</v>
      </c>
      <c r="E72" s="7" t="e">
        <f>100*(Monthly!#REF!-Monthly!#REF!)</f>
        <v>#REF!</v>
      </c>
      <c r="F72" s="7" t="e">
        <f>100*(Monthly!#REF!-Monthly!#REF!)</f>
        <v>#REF!</v>
      </c>
      <c r="G72" s="7">
        <v>0</v>
      </c>
    </row>
    <row r="73" spans="1:7" x14ac:dyDescent="0.3">
      <c r="A73" s="4">
        <v>24807</v>
      </c>
      <c r="B73" s="5" t="e">
        <f>Monthly!E73-Monthly!#REF!</f>
        <v>#REF!</v>
      </c>
      <c r="C73" s="7">
        <f>100*(LN(Monthly!H73)-LN(Monthly!H72))</f>
        <v>1.8084594836505374</v>
      </c>
      <c r="D73" s="7">
        <v>2.5937309566165299</v>
      </c>
      <c r="E73" s="7" t="e">
        <f>100*(Monthly!#REF!-Monthly!#REF!)</f>
        <v>#REF!</v>
      </c>
      <c r="F73" s="7" t="e">
        <f>100*(Monthly!#REF!-Monthly!#REF!)</f>
        <v>#REF!</v>
      </c>
      <c r="G73" s="7">
        <v>0</v>
      </c>
    </row>
    <row r="74" spans="1:7" x14ac:dyDescent="0.3">
      <c r="A74" s="4">
        <v>24838</v>
      </c>
      <c r="B74" s="5" t="e">
        <f>Monthly!E74-Monthly!#REF!</f>
        <v>#REF!</v>
      </c>
      <c r="C74" s="7">
        <f>100*(LN(Monthly!H74)-LN(Monthly!H73))</f>
        <v>0.47622832643483548</v>
      </c>
      <c r="D74" s="7">
        <v>-4.4838239034846197</v>
      </c>
      <c r="E74" s="7" t="e">
        <f>100*(Monthly!#REF!-Monthly!#REF!)</f>
        <v>#REF!</v>
      </c>
      <c r="F74" s="7" t="e">
        <f>100*(Monthly!#REF!-Monthly!#REF!)</f>
        <v>#REF!</v>
      </c>
      <c r="G74" s="7">
        <v>0</v>
      </c>
    </row>
    <row r="75" spans="1:7" x14ac:dyDescent="0.3">
      <c r="A75" s="4">
        <v>24869</v>
      </c>
      <c r="B75" s="5" t="e">
        <f>Monthly!E75-Monthly!#REF!</f>
        <v>#REF!</v>
      </c>
      <c r="C75" s="7">
        <f>100*(LN(Monthly!H75)-LN(Monthly!H74))</f>
        <v>5.4519519222306911E-2</v>
      </c>
      <c r="D75" s="7">
        <v>-3.1720691210123002</v>
      </c>
      <c r="E75" s="7" t="e">
        <f>100*(Monthly!#REF!-Monthly!#REF!)</f>
        <v>#REF!</v>
      </c>
      <c r="F75" s="7" t="e">
        <f>100*(Monthly!#REF!-Monthly!#REF!)</f>
        <v>#REF!</v>
      </c>
      <c r="G75" s="7">
        <v>0</v>
      </c>
    </row>
    <row r="76" spans="1:7" x14ac:dyDescent="0.3">
      <c r="A76" s="4">
        <v>24898</v>
      </c>
      <c r="B76" s="5" t="e">
        <f>Monthly!E76-Monthly!#REF!</f>
        <v>#REF!</v>
      </c>
      <c r="C76" s="7">
        <f>100*(LN(Monthly!H76)-LN(Monthly!H75))</f>
        <v>0.59397303557116032</v>
      </c>
      <c r="D76" s="7">
        <v>0.93562316441423499</v>
      </c>
      <c r="E76" s="7" t="e">
        <f>100*(Monthly!#REF!-Monthly!#REF!)</f>
        <v>#REF!</v>
      </c>
      <c r="F76" s="7" t="e">
        <f>100*(Monthly!#REF!-Monthly!#REF!)</f>
        <v>#REF!</v>
      </c>
      <c r="G76" s="7">
        <v>0</v>
      </c>
    </row>
    <row r="77" spans="1:7" x14ac:dyDescent="0.3">
      <c r="A77" s="4">
        <v>24929</v>
      </c>
      <c r="B77" s="5" t="e">
        <f>Monthly!E77-Monthly!#REF!</f>
        <v>#REF!</v>
      </c>
      <c r="C77" s="7">
        <f>100*(LN(Monthly!H77)-LN(Monthly!H76))</f>
        <v>1.4891892262985706</v>
      </c>
      <c r="D77" s="7">
        <v>7.741263478614</v>
      </c>
      <c r="E77" s="7" t="e">
        <f>100*(Monthly!#REF!-Monthly!#REF!)</f>
        <v>#REF!</v>
      </c>
      <c r="F77" s="7" t="e">
        <f>100*(Monthly!#REF!-Monthly!#REF!)</f>
        <v>#REF!</v>
      </c>
      <c r="G77" s="7">
        <v>0</v>
      </c>
    </row>
    <row r="78" spans="1:7" x14ac:dyDescent="0.3">
      <c r="A78" s="4">
        <v>24959</v>
      </c>
      <c r="B78" s="5" t="e">
        <f>Monthly!E78-Monthly!#REF!</f>
        <v>#REF!</v>
      </c>
      <c r="C78" s="7">
        <f>100*(LN(Monthly!H78)-LN(Monthly!H77))</f>
        <v>0.62189591707992875</v>
      </c>
      <c r="D78" s="7">
        <v>1.24402667322535</v>
      </c>
      <c r="E78" s="7" t="e">
        <f>100*(Monthly!#REF!-Monthly!#REF!)</f>
        <v>#REF!</v>
      </c>
      <c r="F78" s="7" t="e">
        <f>100*(Monthly!#REF!-Monthly!#REF!)</f>
        <v>#REF!</v>
      </c>
      <c r="G78" s="7">
        <v>0</v>
      </c>
    </row>
    <row r="79" spans="1:7" x14ac:dyDescent="0.3">
      <c r="A79" s="4">
        <v>24990</v>
      </c>
      <c r="B79" s="5" t="e">
        <f>Monthly!E79-Monthly!#REF!</f>
        <v>#REF!</v>
      </c>
      <c r="C79" s="7">
        <f>100*(LN(Monthly!H79)-LN(Monthly!H78))</f>
        <v>1.0697572867670146</v>
      </c>
      <c r="D79" s="7">
        <v>0.90790648480762204</v>
      </c>
      <c r="E79" s="7" t="e">
        <f>100*(Monthly!#REF!-Monthly!#REF!)</f>
        <v>#REF!</v>
      </c>
      <c r="F79" s="7" t="e">
        <f>100*(Monthly!#REF!-Monthly!#REF!)</f>
        <v>#REF!</v>
      </c>
      <c r="G79" s="7">
        <v>0</v>
      </c>
    </row>
    <row r="80" spans="1:7" x14ac:dyDescent="0.3">
      <c r="A80" s="4">
        <v>25020</v>
      </c>
      <c r="B80" s="5" t="e">
        <f>Monthly!E80-Monthly!#REF!</f>
        <v>#REF!</v>
      </c>
      <c r="C80" s="7">
        <f>100*(LN(Monthly!H80)-LN(Monthly!H79))</f>
        <v>1.2226805715111588</v>
      </c>
      <c r="D80" s="7">
        <v>-1.86504896160596</v>
      </c>
      <c r="E80" s="7" t="e">
        <f>100*(Monthly!#REF!-Monthly!#REF!)</f>
        <v>#REF!</v>
      </c>
      <c r="F80" s="7" t="e">
        <f>100*(Monthly!#REF!-Monthly!#REF!)</f>
        <v>#REF!</v>
      </c>
      <c r="G80" s="7">
        <v>0</v>
      </c>
    </row>
    <row r="81" spans="1:7" x14ac:dyDescent="0.3">
      <c r="A81" s="4">
        <v>25051</v>
      </c>
      <c r="B81" s="5" t="e">
        <f>Monthly!E81-Monthly!#REF!</f>
        <v>#REF!</v>
      </c>
      <c r="C81" s="7">
        <f>100*(LN(Monthly!H81)-LN(Monthly!H80))</f>
        <v>0.22197372532755111</v>
      </c>
      <c r="D81" s="7">
        <v>1.13938440669588</v>
      </c>
      <c r="E81" s="7" t="e">
        <f>100*(Monthly!#REF!-Monthly!#REF!)</f>
        <v>#REF!</v>
      </c>
      <c r="F81" s="7" t="e">
        <f>100*(Monthly!#REF!-Monthly!#REF!)</f>
        <v>#REF!</v>
      </c>
      <c r="G81" s="7">
        <v>0</v>
      </c>
    </row>
    <row r="82" spans="1:7" x14ac:dyDescent="0.3">
      <c r="A82" s="4">
        <v>25082</v>
      </c>
      <c r="B82" s="5" t="e">
        <f>Monthly!E82-Monthly!#REF!</f>
        <v>#REF!</v>
      </c>
      <c r="C82" s="7">
        <f>100*(LN(Monthly!H82)-LN(Monthly!H81))</f>
        <v>0.66319781780039833</v>
      </c>
      <c r="D82" s="7">
        <v>3.78152294237927</v>
      </c>
      <c r="E82" s="7" t="e">
        <f>100*(Monthly!#REF!-Monthly!#REF!)</f>
        <v>#REF!</v>
      </c>
      <c r="F82" s="7" t="e">
        <f>100*(Monthly!#REF!-Monthly!#REF!)</f>
        <v>#REF!</v>
      </c>
      <c r="G82" s="7">
        <v>0</v>
      </c>
    </row>
    <row r="83" spans="1:7" x14ac:dyDescent="0.3">
      <c r="A83" s="4">
        <v>25112</v>
      </c>
      <c r="B83" s="5" t="e">
        <f>Monthly!E83-Monthly!#REF!</f>
        <v>#REF!</v>
      </c>
      <c r="C83" s="7">
        <f>100*(LN(Monthly!H83)-LN(Monthly!H82))</f>
        <v>1.0476777819566685</v>
      </c>
      <c r="D83" s="7">
        <v>0.71817611338726195</v>
      </c>
      <c r="E83" s="7" t="e">
        <f>100*(Monthly!#REF!-Monthly!#REF!)</f>
        <v>#REF!</v>
      </c>
      <c r="F83" s="7" t="e">
        <f>100*(Monthly!#REF!-Monthly!#REF!)</f>
        <v>#REF!</v>
      </c>
      <c r="G83" s="7">
        <v>0</v>
      </c>
    </row>
    <row r="84" spans="1:7" x14ac:dyDescent="0.3">
      <c r="A84" s="4">
        <v>25143</v>
      </c>
      <c r="B84" s="5" t="e">
        <f>Monthly!E84-Monthly!#REF!</f>
        <v>#REF!</v>
      </c>
      <c r="C84" s="7">
        <f>100*(LN(Monthly!H84)-LN(Monthly!H83))</f>
        <v>1.7700994784024537</v>
      </c>
      <c r="D84" s="7">
        <v>4.68496186690136</v>
      </c>
      <c r="E84" s="7" t="e">
        <f>100*(Monthly!#REF!-Monthly!#REF!)</f>
        <v>#REF!</v>
      </c>
      <c r="F84" s="7" t="e">
        <f>100*(Monthly!#REF!-Monthly!#REF!)</f>
        <v>#REF!</v>
      </c>
      <c r="G84" s="7">
        <v>0</v>
      </c>
    </row>
    <row r="85" spans="1:7" x14ac:dyDescent="0.3">
      <c r="A85" s="4">
        <v>25173</v>
      </c>
      <c r="B85" s="5" t="e">
        <f>Monthly!E85-Monthly!#REF!</f>
        <v>#REF!</v>
      </c>
      <c r="C85" s="7">
        <f>100*(LN(Monthly!H85)-LN(Monthly!H84))</f>
        <v>1.8214599175600199</v>
      </c>
      <c r="D85" s="7">
        <v>-4.2507478986541498</v>
      </c>
      <c r="E85" s="7" t="e">
        <f>100*(Monthly!#REF!-Monthly!#REF!)</f>
        <v>#REF!</v>
      </c>
      <c r="F85" s="7" t="e">
        <f>100*(Monthly!#REF!-Monthly!#REF!)</f>
        <v>#REF!</v>
      </c>
      <c r="G85" s="7">
        <v>0</v>
      </c>
    </row>
    <row r="86" spans="1:7" x14ac:dyDescent="0.3">
      <c r="A86" s="4">
        <v>25204</v>
      </c>
      <c r="B86" s="5" t="e">
        <f>Monthly!E86-Monthly!#REF!</f>
        <v>#REF!</v>
      </c>
      <c r="C86" s="7">
        <f>100*(LN(Monthly!H86)-LN(Monthly!H85))</f>
        <v>0.97396952900714595</v>
      </c>
      <c r="D86" s="7">
        <v>-0.82177526591587302</v>
      </c>
      <c r="E86" s="7" t="e">
        <f>100*(Monthly!#REF!-Monthly!#REF!)</f>
        <v>#REF!</v>
      </c>
      <c r="F86" s="7" t="e">
        <f>100*(Monthly!#REF!-Monthly!#REF!)</f>
        <v>#REF!</v>
      </c>
      <c r="G86" s="7">
        <v>0</v>
      </c>
    </row>
    <row r="87" spans="1:7" x14ac:dyDescent="0.3">
      <c r="A87" s="4">
        <v>25235</v>
      </c>
      <c r="B87" s="5" t="e">
        <f>Monthly!E87-Monthly!#REF!</f>
        <v>#REF!</v>
      </c>
      <c r="C87" s="7">
        <f>100*(LN(Monthly!H87)-LN(Monthly!H86))</f>
        <v>1.174976832008312</v>
      </c>
      <c r="D87" s="7">
        <v>-4.8532989404506903</v>
      </c>
      <c r="E87" s="7" t="e">
        <f>100*(Monthly!#REF!-Monthly!#REF!)</f>
        <v>#REF!</v>
      </c>
      <c r="F87" s="7" t="e">
        <f>100*(Monthly!#REF!-Monthly!#REF!)</f>
        <v>#REF!</v>
      </c>
      <c r="G87" s="7">
        <v>0</v>
      </c>
    </row>
    <row r="88" spans="1:7" x14ac:dyDescent="0.3">
      <c r="A88" s="4">
        <v>25263</v>
      </c>
      <c r="B88" s="5" t="e">
        <f>Monthly!E88-Monthly!#REF!</f>
        <v>#REF!</v>
      </c>
      <c r="C88" s="7">
        <f>100*(LN(Monthly!H88)-LN(Monthly!H87))</f>
        <v>0.95376419206392171</v>
      </c>
      <c r="D88" s="7">
        <v>3.3864234611688602</v>
      </c>
      <c r="E88" s="7" t="e">
        <f>100*(Monthly!#REF!-Monthly!#REF!)</f>
        <v>#REF!</v>
      </c>
      <c r="F88" s="7" t="e">
        <f>100*(Monthly!#REF!-Monthly!#REF!)</f>
        <v>#REF!</v>
      </c>
      <c r="G88" s="7">
        <v>0</v>
      </c>
    </row>
    <row r="89" spans="1:7" x14ac:dyDescent="0.3">
      <c r="A89" s="4">
        <v>25294</v>
      </c>
      <c r="B89" s="5" t="e">
        <f>Monthly!E89-Monthly!#REF!</f>
        <v>#REF!</v>
      </c>
      <c r="C89" s="7">
        <f>100*(LN(Monthly!H89)-LN(Monthly!H88))</f>
        <v>1.5331549076641693</v>
      </c>
      <c r="D89" s="7">
        <v>2.1248365274557699</v>
      </c>
      <c r="E89" s="7" t="e">
        <f>100*(Monthly!#REF!-Monthly!#REF!)</f>
        <v>#REF!</v>
      </c>
      <c r="F89" s="7" t="e">
        <f>100*(Monthly!#REF!-Monthly!#REF!)</f>
        <v>#REF!</v>
      </c>
      <c r="G89" s="7">
        <v>0</v>
      </c>
    </row>
    <row r="90" spans="1:7" x14ac:dyDescent="0.3">
      <c r="A90" s="4">
        <v>25324</v>
      </c>
      <c r="B90" s="5" t="e">
        <f>Monthly!E90-Monthly!#REF!</f>
        <v>#REF!</v>
      </c>
      <c r="C90" s="7">
        <f>100*(LN(Monthly!H90)-LN(Monthly!H89))</f>
        <v>1.1581798281500966</v>
      </c>
      <c r="D90" s="7">
        <v>-0.222064638915526</v>
      </c>
      <c r="E90" s="7" t="e">
        <f>100*(Monthly!#REF!-Monthly!#REF!)</f>
        <v>#REF!</v>
      </c>
      <c r="F90" s="7" t="e">
        <f>100*(Monthly!#REF!-Monthly!#REF!)</f>
        <v>#REF!</v>
      </c>
      <c r="G90" s="7">
        <v>0</v>
      </c>
    </row>
    <row r="91" spans="1:7" x14ac:dyDescent="0.3">
      <c r="A91" s="4">
        <v>25355</v>
      </c>
      <c r="B91" s="5" t="e">
        <f>Monthly!E91-Monthly!#REF!</f>
        <v>#REF!</v>
      </c>
      <c r="C91" s="7">
        <f>100*(LN(Monthly!H91)-LN(Monthly!H90))</f>
        <v>0.58194914190812241</v>
      </c>
      <c r="D91" s="7">
        <v>-5.7181157139865197</v>
      </c>
      <c r="E91" s="7" t="e">
        <f>100*(Monthly!#REF!-Monthly!#REF!)</f>
        <v>#REF!</v>
      </c>
      <c r="F91" s="7" t="e">
        <f>100*(Monthly!#REF!-Monthly!#REF!)</f>
        <v>#REF!</v>
      </c>
      <c r="G91" s="7">
        <v>0</v>
      </c>
    </row>
    <row r="92" spans="1:7" x14ac:dyDescent="0.3">
      <c r="A92" s="4">
        <v>25385</v>
      </c>
      <c r="B92" s="5" t="e">
        <f>Monthly!E92-Monthly!#REF!</f>
        <v>#REF!</v>
      </c>
      <c r="C92" s="7">
        <f>100*(LN(Monthly!H92)-LN(Monthly!H91))</f>
        <v>0.50127514969782183</v>
      </c>
      <c r="D92" s="7">
        <v>-6.2064837021364996</v>
      </c>
      <c r="E92" s="7" t="e">
        <f>100*(Monthly!#REF!-Monthly!#REF!)</f>
        <v>#REF!</v>
      </c>
      <c r="F92" s="7" t="e">
        <f>100*(Monthly!#REF!-Monthly!#REF!)</f>
        <v>#REF!</v>
      </c>
      <c r="G92" s="7">
        <v>1</v>
      </c>
    </row>
    <row r="93" spans="1:7" x14ac:dyDescent="0.3">
      <c r="A93" s="4">
        <v>25416</v>
      </c>
      <c r="B93" s="5" t="e">
        <f>Monthly!E93-Monthly!#REF!</f>
        <v>#REF!</v>
      </c>
      <c r="C93" s="7">
        <f>100*(LN(Monthly!H93)-LN(Monthly!H92))</f>
        <v>0.24326148927977798</v>
      </c>
      <c r="D93" s="7">
        <v>3.9291914848165401</v>
      </c>
      <c r="E93" s="7" t="e">
        <f>100*(Monthly!#REF!-Monthly!#REF!)</f>
        <v>#REF!</v>
      </c>
      <c r="F93" s="7" t="e">
        <f>100*(Monthly!#REF!-Monthly!#REF!)</f>
        <v>#REF!</v>
      </c>
      <c r="G93" s="7">
        <v>0</v>
      </c>
    </row>
    <row r="94" spans="1:7" x14ac:dyDescent="0.3">
      <c r="A94" s="4">
        <v>25447</v>
      </c>
      <c r="B94" s="5" t="e">
        <f>Monthly!E94-Monthly!#REF!</f>
        <v>#REF!</v>
      </c>
      <c r="C94" s="7">
        <f>100*(LN(Monthly!H94)-LN(Monthly!H93))</f>
        <v>0.4933279544292013</v>
      </c>
      <c r="D94" s="7">
        <v>-2.5341962935000102</v>
      </c>
      <c r="E94" s="7" t="e">
        <f>100*(Monthly!#REF!-Monthly!#REF!)</f>
        <v>#REF!</v>
      </c>
      <c r="F94" s="7" t="e">
        <f>100*(Monthly!#REF!-Monthly!#REF!)</f>
        <v>#REF!</v>
      </c>
      <c r="G94" s="7">
        <v>0</v>
      </c>
    </row>
    <row r="95" spans="1:7" x14ac:dyDescent="0.3">
      <c r="A95" s="4">
        <v>25477</v>
      </c>
      <c r="B95" s="5" t="e">
        <f>Monthly!E95-Monthly!#REF!</f>
        <v>#REF!</v>
      </c>
      <c r="C95" s="7">
        <f>100*(LN(Monthly!H95)-LN(Monthly!H94))</f>
        <v>0.4992448689458584</v>
      </c>
      <c r="D95" s="7">
        <v>4.2058342113271197</v>
      </c>
      <c r="E95" s="7" t="e">
        <f>100*(Monthly!#REF!-Monthly!#REF!)</f>
        <v>#REF!</v>
      </c>
      <c r="F95" s="7" t="e">
        <f>100*(Monthly!#REF!-Monthly!#REF!)</f>
        <v>#REF!</v>
      </c>
      <c r="G95" s="7">
        <v>0</v>
      </c>
    </row>
    <row r="96" spans="1:7" x14ac:dyDescent="0.3">
      <c r="A96" s="4">
        <v>25508</v>
      </c>
      <c r="B96" s="5" t="e">
        <f>Monthly!E96-Monthly!#REF!</f>
        <v>#REF!</v>
      </c>
      <c r="C96" s="7">
        <f>100*(LN(Monthly!H96)-LN(Monthly!H95))</f>
        <v>0.80965455141708276</v>
      </c>
      <c r="D96" s="7">
        <v>-3.4675921478631802</v>
      </c>
      <c r="E96" s="7" t="e">
        <f>100*(Monthly!#REF!-Monthly!#REF!)</f>
        <v>#REF!</v>
      </c>
      <c r="F96" s="7" t="e">
        <f>100*(Monthly!#REF!-Monthly!#REF!)</f>
        <v>#REF!</v>
      </c>
      <c r="G96" s="7">
        <v>0</v>
      </c>
    </row>
    <row r="97" spans="1:7" x14ac:dyDescent="0.3">
      <c r="A97" s="4">
        <v>25538</v>
      </c>
      <c r="B97" s="5" t="e">
        <f>Monthly!E97-Monthly!#REF!</f>
        <v>#REF!</v>
      </c>
      <c r="C97" s="7">
        <f>100*(LN(Monthly!H97)-LN(Monthly!H96))</f>
        <v>1.3339304322959045</v>
      </c>
      <c r="D97" s="7">
        <v>-1.88309222434825</v>
      </c>
      <c r="E97" s="7" t="e">
        <f>100*(Monthly!#REF!-Monthly!#REF!)</f>
        <v>#REF!</v>
      </c>
      <c r="F97" s="7" t="e">
        <f>100*(Monthly!#REF!-Monthly!#REF!)</f>
        <v>#REF!</v>
      </c>
      <c r="G97" s="7">
        <v>0</v>
      </c>
    </row>
    <row r="98" spans="1:7" x14ac:dyDescent="0.3">
      <c r="A98" s="4">
        <v>25569</v>
      </c>
      <c r="B98" s="5" t="e">
        <f>Monthly!E98-Monthly!#REF!</f>
        <v>#REF!</v>
      </c>
      <c r="C98" s="7">
        <f>100*(LN(Monthly!H98)-LN(Monthly!H97))</f>
        <v>-0.28182819817752502</v>
      </c>
      <c r="D98" s="7">
        <v>-7.9554028422768797</v>
      </c>
      <c r="E98" s="7" t="e">
        <f>100*(Monthly!#REF!-Monthly!#REF!)</f>
        <v>#REF!</v>
      </c>
      <c r="F98" s="7" t="e">
        <f>100*(Monthly!#REF!-Monthly!#REF!)</f>
        <v>#REF!</v>
      </c>
      <c r="G98" s="7">
        <v>0</v>
      </c>
    </row>
    <row r="99" spans="1:7" x14ac:dyDescent="0.3">
      <c r="A99" s="4">
        <v>25600</v>
      </c>
      <c r="B99" s="5" t="e">
        <f>Monthly!E99-Monthly!#REF!</f>
        <v>#REF!</v>
      </c>
      <c r="C99" s="7">
        <f>100*(LN(Monthly!H99)-LN(Monthly!H98))</f>
        <v>-0.56851033242750759</v>
      </c>
      <c r="D99" s="7">
        <v>5.1352141834212501</v>
      </c>
      <c r="E99" s="7" t="e">
        <f>100*(Monthly!#REF!-Monthly!#REF!)</f>
        <v>#REF!</v>
      </c>
      <c r="F99" s="7" t="e">
        <f>100*(Monthly!#REF!-Monthly!#REF!)</f>
        <v>#REF!</v>
      </c>
      <c r="G99" s="7">
        <v>0</v>
      </c>
    </row>
    <row r="100" spans="1:7" x14ac:dyDescent="0.3">
      <c r="A100" s="4">
        <v>25628</v>
      </c>
      <c r="B100" s="5" t="e">
        <f>Monthly!E100-Monthly!#REF!</f>
        <v>#REF!</v>
      </c>
      <c r="C100" s="7">
        <f>100*(LN(Monthly!H100)-LN(Monthly!H99))</f>
        <v>-0.26763555602657974</v>
      </c>
      <c r="D100" s="7">
        <v>0.14514294449029799</v>
      </c>
      <c r="E100" s="7" t="e">
        <f>100*(Monthly!#REF!-Monthly!#REF!)</f>
        <v>#REF!</v>
      </c>
      <c r="F100" s="7" t="e">
        <f>100*(Monthly!#REF!-Monthly!#REF!)</f>
        <v>#REF!</v>
      </c>
      <c r="G100" s="7">
        <v>0</v>
      </c>
    </row>
    <row r="101" spans="1:7" x14ac:dyDescent="0.3">
      <c r="A101" s="4">
        <v>25659</v>
      </c>
      <c r="B101" s="5" t="e">
        <f>Monthly!E101-Monthly!#REF!</f>
        <v>#REF!</v>
      </c>
      <c r="C101" s="7">
        <f>100*(LN(Monthly!H101)-LN(Monthly!H100))</f>
        <v>0.24994162410019172</v>
      </c>
      <c r="D101" s="7">
        <v>-9.4841706990508001</v>
      </c>
      <c r="E101" s="7" t="e">
        <f>100*(Monthly!#REF!-Monthly!#REF!)</f>
        <v>#REF!</v>
      </c>
      <c r="F101" s="7" t="e">
        <f>100*(Monthly!#REF!-Monthly!#REF!)</f>
        <v>#REF!</v>
      </c>
      <c r="G101" s="7">
        <v>0</v>
      </c>
    </row>
    <row r="102" spans="1:7" x14ac:dyDescent="0.3">
      <c r="A102" s="4">
        <v>25689</v>
      </c>
      <c r="B102" s="5" t="e">
        <f>Monthly!E102-Monthly!#REF!</f>
        <v>#REF!</v>
      </c>
      <c r="C102" s="7">
        <f>100*(LN(Monthly!H102)-LN(Monthly!H101))</f>
        <v>0.31669215710854459</v>
      </c>
      <c r="D102" s="7">
        <v>-6.2904185765309997</v>
      </c>
      <c r="E102" s="7" t="e">
        <f>100*(Monthly!#REF!-Monthly!#REF!)</f>
        <v>#REF!</v>
      </c>
      <c r="F102" s="7" t="e">
        <f>100*(Monthly!#REF!-Monthly!#REF!)</f>
        <v>#REF!</v>
      </c>
      <c r="G102" s="7">
        <v>1</v>
      </c>
    </row>
    <row r="103" spans="1:7" x14ac:dyDescent="0.3">
      <c r="A103" s="4">
        <v>25720</v>
      </c>
      <c r="B103" s="5" t="e">
        <f>Monthly!E103-Monthly!#REF!</f>
        <v>#REF!</v>
      </c>
      <c r="C103" s="7">
        <f>100*(LN(Monthly!H103)-LN(Monthly!H102))</f>
        <v>0.77426676785377069</v>
      </c>
      <c r="D103" s="7">
        <v>-5.1327695314324702</v>
      </c>
      <c r="E103" s="7" t="e">
        <f>100*(Monthly!#REF!-Monthly!#REF!)</f>
        <v>#REF!</v>
      </c>
      <c r="F103" s="7" t="e">
        <f>100*(Monthly!#REF!-Monthly!#REF!)</f>
        <v>#REF!</v>
      </c>
      <c r="G103" s="7">
        <v>1</v>
      </c>
    </row>
    <row r="104" spans="1:7" x14ac:dyDescent="0.3">
      <c r="A104" s="4">
        <v>25750</v>
      </c>
      <c r="B104" s="5" t="e">
        <f>Monthly!E104-Monthly!#REF!</f>
        <v>#REF!</v>
      </c>
      <c r="C104" s="7">
        <f>100*(LN(Monthly!H104)-LN(Monthly!H103))</f>
        <v>0.78429288317902746</v>
      </c>
      <c r="D104" s="7">
        <v>7.07332194059064</v>
      </c>
      <c r="E104" s="7" t="e">
        <f>100*(Monthly!#REF!-Monthly!#REF!)</f>
        <v>#REF!</v>
      </c>
      <c r="F104" s="7" t="e">
        <f>100*(Monthly!#REF!-Monthly!#REF!)</f>
        <v>#REF!</v>
      </c>
      <c r="G104" s="7">
        <v>0</v>
      </c>
    </row>
    <row r="105" spans="1:7" x14ac:dyDescent="0.3">
      <c r="A105" s="4">
        <v>25781</v>
      </c>
      <c r="B105" s="5" t="e">
        <f>Monthly!E105-Monthly!#REF!</f>
        <v>#REF!</v>
      </c>
      <c r="C105" s="7">
        <f>100*(LN(Monthly!H105)-LN(Monthly!H104))</f>
        <v>0.79892126683507314</v>
      </c>
      <c r="D105" s="7">
        <v>4.3498661673728103</v>
      </c>
      <c r="E105" s="7" t="e">
        <f>100*(Monthly!#REF!-Monthly!#REF!)</f>
        <v>#REF!</v>
      </c>
      <c r="F105" s="7" t="e">
        <f>100*(Monthly!#REF!-Monthly!#REF!)</f>
        <v>#REF!</v>
      </c>
      <c r="G105" s="7">
        <v>0</v>
      </c>
    </row>
    <row r="106" spans="1:7" x14ac:dyDescent="0.3">
      <c r="A106" s="4">
        <v>25812</v>
      </c>
      <c r="B106" s="5" t="e">
        <f>Monthly!E106-Monthly!#REF!</f>
        <v>#REF!</v>
      </c>
      <c r="C106" s="7">
        <f>100*(LN(Monthly!H106)-LN(Monthly!H105))</f>
        <v>0.90632235248389037</v>
      </c>
      <c r="D106" s="7">
        <v>3.3533553473764699</v>
      </c>
      <c r="E106" s="7" t="e">
        <f>100*(Monthly!#REF!-Monthly!#REF!)</f>
        <v>#REF!</v>
      </c>
      <c r="F106" s="7" t="e">
        <f>100*(Monthly!#REF!-Monthly!#REF!)</f>
        <v>#REF!</v>
      </c>
      <c r="G106" s="7">
        <v>0</v>
      </c>
    </row>
    <row r="107" spans="1:7" x14ac:dyDescent="0.3">
      <c r="A107" s="4">
        <v>25842</v>
      </c>
      <c r="B107" s="5" t="e">
        <f>Monthly!E107-Monthly!#REF!</f>
        <v>#REF!</v>
      </c>
      <c r="C107" s="7">
        <f>100*(LN(Monthly!H107)-LN(Monthly!H106))</f>
        <v>0.22352654894373103</v>
      </c>
      <c r="D107" s="7">
        <v>-1.2533772348416199</v>
      </c>
      <c r="E107" s="7" t="e">
        <f>100*(Monthly!#REF!-Monthly!#REF!)</f>
        <v>#REF!</v>
      </c>
      <c r="F107" s="7" t="e">
        <f>100*(Monthly!#REF!-Monthly!#REF!)</f>
        <v>#REF!</v>
      </c>
      <c r="G107" s="7">
        <v>0</v>
      </c>
    </row>
    <row r="108" spans="1:7" x14ac:dyDescent="0.3">
      <c r="A108" s="4">
        <v>25873</v>
      </c>
      <c r="B108" s="5" t="e">
        <f>Monthly!E108-Monthly!#REF!</f>
        <v>#REF!</v>
      </c>
      <c r="C108" s="7">
        <f>100*(LN(Monthly!H108)-LN(Monthly!H107))</f>
        <v>0.36408579676256991</v>
      </c>
      <c r="D108" s="7">
        <v>4.6356167057157602</v>
      </c>
      <c r="E108" s="7" t="e">
        <f>100*(Monthly!#REF!-Monthly!#REF!)</f>
        <v>#REF!</v>
      </c>
      <c r="F108" s="7" t="e">
        <f>100*(Monthly!#REF!-Monthly!#REF!)</f>
        <v>#REF!</v>
      </c>
      <c r="G108" s="7">
        <v>0</v>
      </c>
    </row>
    <row r="109" spans="1:7" x14ac:dyDescent="0.3">
      <c r="A109" s="4">
        <v>25903</v>
      </c>
      <c r="B109" s="5" t="e">
        <f>Monthly!E109-Monthly!#REF!</f>
        <v>#REF!</v>
      </c>
      <c r="C109" s="7">
        <f>100*(LN(Monthly!H109)-LN(Monthly!H108))</f>
        <v>1.0683875812166121</v>
      </c>
      <c r="D109" s="7">
        <v>5.5213404756763804</v>
      </c>
      <c r="E109" s="7" t="e">
        <f>100*(Monthly!#REF!-Monthly!#REF!)</f>
        <v>#REF!</v>
      </c>
      <c r="F109" s="7" t="e">
        <f>100*(Monthly!#REF!-Monthly!#REF!)</f>
        <v>#REF!</v>
      </c>
      <c r="G109" s="7">
        <v>0</v>
      </c>
    </row>
    <row r="110" spans="1:7" x14ac:dyDescent="0.3">
      <c r="A110" s="4">
        <v>25934</v>
      </c>
      <c r="B110" s="5" t="e">
        <f>Monthly!E110-Monthly!#REF!</f>
        <v>#REF!</v>
      </c>
      <c r="C110" s="7">
        <f>100*(LN(Monthly!H110)-LN(Monthly!H109))</f>
        <v>0.17056544187745715</v>
      </c>
      <c r="D110" s="7">
        <v>3.9679680245671598</v>
      </c>
      <c r="E110" s="7" t="e">
        <f>100*(Monthly!#REF!-Monthly!#REF!)</f>
        <v>#REF!</v>
      </c>
      <c r="F110" s="7" t="e">
        <f>100*(Monthly!#REF!-Monthly!#REF!)</f>
        <v>#REF!</v>
      </c>
      <c r="G110" s="7">
        <v>0</v>
      </c>
    </row>
    <row r="111" spans="1:7" x14ac:dyDescent="0.3">
      <c r="A111" s="4">
        <v>25965</v>
      </c>
      <c r="B111" s="5" t="e">
        <f>Monthly!E111-Monthly!#REF!</f>
        <v>#REF!</v>
      </c>
      <c r="C111" s="7">
        <f>100*(LN(Monthly!H111)-LN(Monthly!H110))</f>
        <v>0.31077301990904971</v>
      </c>
      <c r="D111" s="7">
        <v>0.9032950989745</v>
      </c>
      <c r="E111" s="7" t="e">
        <f>100*(Monthly!#REF!-Monthly!#REF!)</f>
        <v>#REF!</v>
      </c>
      <c r="F111" s="7" t="e">
        <f>100*(Monthly!#REF!-Monthly!#REF!)</f>
        <v>#REF!</v>
      </c>
      <c r="G111" s="7">
        <v>0</v>
      </c>
    </row>
    <row r="112" spans="1:7" x14ac:dyDescent="0.3">
      <c r="A112" s="4">
        <v>25993</v>
      </c>
      <c r="B112" s="5" t="e">
        <f>Monthly!E112-Monthly!#REF!</f>
        <v>#REF!</v>
      </c>
      <c r="C112" s="7">
        <f>100*(LN(Monthly!H112)-LN(Monthly!H111))</f>
        <v>8.2721857400791521E-2</v>
      </c>
      <c r="D112" s="7">
        <v>3.6135034646889399</v>
      </c>
      <c r="E112" s="7" t="e">
        <f>100*(Monthly!#REF!-Monthly!#REF!)</f>
        <v>#REF!</v>
      </c>
      <c r="F112" s="7" t="e">
        <f>100*(Monthly!#REF!-Monthly!#REF!)</f>
        <v>#REF!</v>
      </c>
      <c r="G112" s="7">
        <v>0</v>
      </c>
    </row>
    <row r="113" spans="1:7" x14ac:dyDescent="0.3">
      <c r="A113" s="4">
        <v>26024</v>
      </c>
      <c r="B113" s="5" t="e">
        <f>Monthly!E113-Monthly!#REF!</f>
        <v>#REF!</v>
      </c>
      <c r="C113" s="7">
        <f>100*(LN(Monthly!H113)-LN(Monthly!H112))</f>
        <v>0.14446504723428788</v>
      </c>
      <c r="D113" s="7">
        <v>3.5644618389301201</v>
      </c>
      <c r="E113" s="7" t="e">
        <f>100*(Monthly!#REF!-Monthly!#REF!)</f>
        <v>#REF!</v>
      </c>
      <c r="F113" s="7" t="e">
        <f>100*(Monthly!#REF!-Monthly!#REF!)</f>
        <v>#REF!</v>
      </c>
      <c r="G113" s="7">
        <v>0</v>
      </c>
    </row>
    <row r="114" spans="1:7" x14ac:dyDescent="0.3">
      <c r="A114" s="4">
        <v>26054</v>
      </c>
      <c r="B114" s="5" t="e">
        <f>Monthly!E114-Monthly!#REF!</f>
        <v>#REF!</v>
      </c>
      <c r="C114" s="7">
        <f>100*(LN(Monthly!H114)-LN(Monthly!H113))</f>
        <v>0.80982241427873802</v>
      </c>
      <c r="D114" s="7">
        <v>-4.2446688457138704</v>
      </c>
      <c r="E114" s="7" t="e">
        <f>100*(Monthly!#REF!-Monthly!#REF!)</f>
        <v>#REF!</v>
      </c>
      <c r="F114" s="7" t="e">
        <f>100*(Monthly!#REF!-Monthly!#REF!)</f>
        <v>#REF!</v>
      </c>
      <c r="G114" s="7">
        <v>0</v>
      </c>
    </row>
    <row r="115" spans="1:7" x14ac:dyDescent="0.3">
      <c r="A115" s="4">
        <v>26085</v>
      </c>
      <c r="B115" s="5" t="e">
        <f>Monthly!E115-Monthly!#REF!</f>
        <v>#REF!</v>
      </c>
      <c r="C115" s="7">
        <f>100*(LN(Monthly!H115)-LN(Monthly!H114))</f>
        <v>0.93755638609414049</v>
      </c>
      <c r="D115" s="7">
        <v>-0.937838096903989</v>
      </c>
      <c r="E115" s="7" t="e">
        <f>100*(Monthly!#REF!-Monthly!#REF!)</f>
        <v>#REF!</v>
      </c>
      <c r="F115" s="7" t="e">
        <f>100*(Monthly!#REF!-Monthly!#REF!)</f>
        <v>#REF!</v>
      </c>
      <c r="G115" s="7">
        <v>0</v>
      </c>
    </row>
    <row r="116" spans="1:7" x14ac:dyDescent="0.3">
      <c r="A116" s="4">
        <v>26115</v>
      </c>
      <c r="B116" s="5" t="e">
        <f>Monthly!E116-Monthly!#REF!</f>
        <v>#REF!</v>
      </c>
      <c r="C116" s="7">
        <f>100*(LN(Monthly!H116)-LN(Monthly!H115))</f>
        <v>0.21942760715933929</v>
      </c>
      <c r="D116" s="7">
        <v>-3.2121303212591901</v>
      </c>
      <c r="E116" s="7" t="e">
        <f>100*(Monthly!#REF!-Monthly!#REF!)</f>
        <v>#REF!</v>
      </c>
      <c r="F116" s="7" t="e">
        <f>100*(Monthly!#REF!-Monthly!#REF!)</f>
        <v>#REF!</v>
      </c>
      <c r="G116" s="7">
        <v>0</v>
      </c>
    </row>
    <row r="117" spans="1:7" x14ac:dyDescent="0.3">
      <c r="A117" s="4">
        <v>26146</v>
      </c>
      <c r="B117" s="5" t="e">
        <f>Monthly!E117-Monthly!#REF!</f>
        <v>#REF!</v>
      </c>
      <c r="C117" s="7">
        <f>100*(LN(Monthly!H117)-LN(Monthly!H116))</f>
        <v>1.1327728932917225</v>
      </c>
      <c r="D117" s="7">
        <v>3.5459209899300501</v>
      </c>
      <c r="E117" s="7" t="e">
        <f>100*(Monthly!#REF!-Monthly!#REF!)</f>
        <v>#REF!</v>
      </c>
      <c r="F117" s="7" t="e">
        <f>100*(Monthly!#REF!-Monthly!#REF!)</f>
        <v>#REF!</v>
      </c>
      <c r="G117" s="7">
        <v>1</v>
      </c>
    </row>
    <row r="118" spans="1:7" x14ac:dyDescent="0.3">
      <c r="A118" s="4">
        <v>26177</v>
      </c>
      <c r="B118" s="5" t="e">
        <f>Monthly!E118-Monthly!#REF!</f>
        <v>#REF!</v>
      </c>
      <c r="C118" s="7">
        <f>100*(LN(Monthly!H118)-LN(Monthly!H117))</f>
        <v>0.85585191022206075</v>
      </c>
      <c r="D118" s="7">
        <v>-0.69919974620849001</v>
      </c>
      <c r="E118" s="7" t="e">
        <f>100*(Monthly!#REF!-Monthly!#REF!)</f>
        <v>#REF!</v>
      </c>
      <c r="F118" s="7" t="e">
        <f>100*(Monthly!#REF!-Monthly!#REF!)</f>
        <v>#REF!</v>
      </c>
      <c r="G118" s="7">
        <v>0</v>
      </c>
    </row>
    <row r="119" spans="1:7" x14ac:dyDescent="0.3">
      <c r="A119" s="4">
        <v>26207</v>
      </c>
      <c r="B119" s="5" t="e">
        <f>Monthly!E119-Monthly!#REF!</f>
        <v>#REF!</v>
      </c>
      <c r="C119" s="7">
        <f>100*(LN(Monthly!H119)-LN(Monthly!H118))</f>
        <v>0.507390724884349</v>
      </c>
      <c r="D119" s="7">
        <v>-4.2692186900970501</v>
      </c>
      <c r="E119" s="7" t="e">
        <f>100*(Monthly!#REF!-Monthly!#REF!)</f>
        <v>#REF!</v>
      </c>
      <c r="F119" s="7" t="e">
        <f>100*(Monthly!#REF!-Monthly!#REF!)</f>
        <v>#REF!</v>
      </c>
      <c r="G119" s="7">
        <v>0</v>
      </c>
    </row>
    <row r="120" spans="1:7" x14ac:dyDescent="0.3">
      <c r="A120" s="4">
        <v>26238</v>
      </c>
      <c r="B120" s="5" t="e">
        <f>Monthly!E120-Monthly!#REF!</f>
        <v>#REF!</v>
      </c>
      <c r="C120" s="7">
        <f>100*(LN(Monthly!H120)-LN(Monthly!H119))</f>
        <v>0.4614638882421751</v>
      </c>
      <c r="D120" s="7">
        <v>-0.25502669396206501</v>
      </c>
      <c r="E120" s="7" t="e">
        <f>100*(Monthly!#REF!-Monthly!#REF!)</f>
        <v>#REF!</v>
      </c>
      <c r="F120" s="7" t="e">
        <f>100*(Monthly!#REF!-Monthly!#REF!)</f>
        <v>#REF!</v>
      </c>
      <c r="G120" s="7">
        <v>0</v>
      </c>
    </row>
    <row r="121" spans="1:7" x14ac:dyDescent="0.3">
      <c r="A121" s="4">
        <v>26268</v>
      </c>
      <c r="B121" s="5" t="e">
        <f>Monthly!E121-Monthly!#REF!</f>
        <v>#REF!</v>
      </c>
      <c r="C121" s="7">
        <f>100*(LN(Monthly!H121)-LN(Monthly!H120))</f>
        <v>-1.2138884128898297E-2</v>
      </c>
      <c r="D121" s="7">
        <v>8.2666370405605694</v>
      </c>
      <c r="E121" s="7" t="e">
        <f>100*(Monthly!#REF!-Monthly!#REF!)</f>
        <v>#REF!</v>
      </c>
      <c r="F121" s="7" t="e">
        <f>100*(Monthly!#REF!-Monthly!#REF!)</f>
        <v>#REF!</v>
      </c>
      <c r="G121" s="7">
        <v>0</v>
      </c>
    </row>
    <row r="122" spans="1:7" x14ac:dyDescent="0.3">
      <c r="A122" s="4">
        <v>26299</v>
      </c>
      <c r="B122" s="5" t="e">
        <f>Monthly!E122-Monthly!#REF!</f>
        <v>#REF!</v>
      </c>
      <c r="C122" s="7">
        <f>100*(LN(Monthly!H122)-LN(Monthly!H121))</f>
        <v>0.3122557743422405</v>
      </c>
      <c r="D122" s="7">
        <v>1.79590917593651</v>
      </c>
      <c r="E122" s="7" t="e">
        <f>100*(Monthly!#REF!-Monthly!#REF!)</f>
        <v>#REF!</v>
      </c>
      <c r="F122" s="7" t="e">
        <f>100*(Monthly!#REF!-Monthly!#REF!)</f>
        <v>#REF!</v>
      </c>
      <c r="G122" s="7">
        <v>0</v>
      </c>
    </row>
    <row r="123" spans="1:7" x14ac:dyDescent="0.3">
      <c r="A123" s="4">
        <v>26330</v>
      </c>
      <c r="B123" s="5" t="e">
        <f>Monthly!E123-Monthly!#REF!</f>
        <v>#REF!</v>
      </c>
      <c r="C123" s="7">
        <f>100*(LN(Monthly!H123)-LN(Monthly!H122))</f>
        <v>0.61899433581560359</v>
      </c>
      <c r="D123" s="7">
        <v>2.4988210300339899</v>
      </c>
      <c r="E123" s="7" t="e">
        <f>100*(Monthly!#REF!-Monthly!#REF!)</f>
        <v>#REF!</v>
      </c>
      <c r="F123" s="7" t="e">
        <f>100*(Monthly!#REF!-Monthly!#REF!)</f>
        <v>#REF!</v>
      </c>
      <c r="G123" s="7">
        <v>0</v>
      </c>
    </row>
    <row r="124" spans="1:7" x14ac:dyDescent="0.3">
      <c r="A124" s="4">
        <v>26359</v>
      </c>
      <c r="B124" s="5" t="e">
        <f>Monthly!E124-Monthly!#REF!</f>
        <v>#REF!</v>
      </c>
      <c r="C124" s="7">
        <f>100*(LN(Monthly!H124)-LN(Monthly!H123))</f>
        <v>0.6645756957179394</v>
      </c>
      <c r="D124" s="7">
        <v>0.589417679956453</v>
      </c>
      <c r="E124" s="7" t="e">
        <f>100*(Monthly!#REF!-Monthly!#REF!)</f>
        <v>#REF!</v>
      </c>
      <c r="F124" s="7" t="e">
        <f>100*(Monthly!#REF!-Monthly!#REF!)</f>
        <v>#REF!</v>
      </c>
      <c r="G124" s="7">
        <v>0</v>
      </c>
    </row>
    <row r="125" spans="1:7" x14ac:dyDescent="0.3">
      <c r="A125" s="4">
        <v>26390</v>
      </c>
      <c r="B125" s="5" t="e">
        <f>Monthly!E125-Monthly!#REF!</f>
        <v>#REF!</v>
      </c>
      <c r="C125" s="7">
        <f>100*(LN(Monthly!H125)-LN(Monthly!H124))</f>
        <v>1.2791818556709522</v>
      </c>
      <c r="D125" s="7">
        <v>0.43747566526409598</v>
      </c>
      <c r="E125" s="7" t="e">
        <f>100*(Monthly!#REF!-Monthly!#REF!)</f>
        <v>#REF!</v>
      </c>
      <c r="F125" s="7" t="e">
        <f>100*(Monthly!#REF!-Monthly!#REF!)</f>
        <v>#REF!</v>
      </c>
      <c r="G125" s="7">
        <v>0</v>
      </c>
    </row>
    <row r="126" spans="1:7" x14ac:dyDescent="0.3">
      <c r="A126" s="4">
        <v>26420</v>
      </c>
      <c r="B126" s="5" t="e">
        <f>Monthly!E126-Monthly!#REF!</f>
        <v>#REF!</v>
      </c>
      <c r="C126" s="7">
        <f>100*(LN(Monthly!H126)-LN(Monthly!H125))</f>
        <v>1.1971909593317953</v>
      </c>
      <c r="D126" s="7">
        <v>1.71274963692826</v>
      </c>
      <c r="E126" s="7" t="e">
        <f>100*(Monthly!#REF!-Monthly!#REF!)</f>
        <v>#REF!</v>
      </c>
      <c r="F126" s="7" t="e">
        <f>100*(Monthly!#REF!-Monthly!#REF!)</f>
        <v>#REF!</v>
      </c>
      <c r="G126" s="7">
        <v>0</v>
      </c>
    </row>
    <row r="127" spans="1:7" x14ac:dyDescent="0.3">
      <c r="A127" s="4">
        <v>26451</v>
      </c>
      <c r="B127" s="5" t="e">
        <f>Monthly!E127-Monthly!#REF!</f>
        <v>#REF!</v>
      </c>
      <c r="C127" s="7">
        <f>100*(LN(Monthly!H127)-LN(Monthly!H126))</f>
        <v>0.87252317723152117</v>
      </c>
      <c r="D127" s="7">
        <v>-2.2062088434686902</v>
      </c>
      <c r="E127" s="7" t="e">
        <f>100*(Monthly!#REF!-Monthly!#REF!)</f>
        <v>#REF!</v>
      </c>
      <c r="F127" s="7" t="e">
        <f>100*(Monthly!#REF!-Monthly!#REF!)</f>
        <v>#REF!</v>
      </c>
      <c r="G127" s="7">
        <v>0</v>
      </c>
    </row>
    <row r="128" spans="1:7" x14ac:dyDescent="0.3">
      <c r="A128" s="4">
        <v>26481</v>
      </c>
      <c r="B128" s="5" t="e">
        <f>Monthly!E128-Monthly!#REF!</f>
        <v>#REF!</v>
      </c>
      <c r="C128" s="7">
        <f>100*(LN(Monthly!H128)-LN(Monthly!H127))</f>
        <v>0.73617080219516851</v>
      </c>
      <c r="D128" s="7">
        <v>0.23306774305726399</v>
      </c>
      <c r="E128" s="7" t="e">
        <f>100*(Monthly!#REF!-Monthly!#REF!)</f>
        <v>#REF!</v>
      </c>
      <c r="F128" s="7" t="e">
        <f>100*(Monthly!#REF!-Monthly!#REF!)</f>
        <v>#REF!</v>
      </c>
      <c r="G128" s="7">
        <v>0</v>
      </c>
    </row>
    <row r="129" spans="1:7" x14ac:dyDescent="0.3">
      <c r="A129" s="4">
        <v>26512</v>
      </c>
      <c r="B129" s="5" t="e">
        <f>Monthly!E129-Monthly!#REF!</f>
        <v>#REF!</v>
      </c>
      <c r="C129" s="7">
        <f>100*(LN(Monthly!H129)-LN(Monthly!H128))</f>
        <v>1.0583688086279075</v>
      </c>
      <c r="D129" s="7">
        <v>3.3873588441762101</v>
      </c>
      <c r="E129" s="7" t="e">
        <f>100*(Monthly!#REF!-Monthly!#REF!)</f>
        <v>#REF!</v>
      </c>
      <c r="F129" s="7" t="e">
        <f>100*(Monthly!#REF!-Monthly!#REF!)</f>
        <v>#REF!</v>
      </c>
      <c r="G129" s="7">
        <v>0</v>
      </c>
    </row>
    <row r="130" spans="1:7" x14ac:dyDescent="0.3">
      <c r="A130" s="4">
        <v>26543</v>
      </c>
      <c r="B130" s="5" t="e">
        <f>Monthly!E130-Monthly!#REF!</f>
        <v>#REF!</v>
      </c>
      <c r="C130" s="7">
        <f>100*(LN(Monthly!H130)-LN(Monthly!H129))</f>
        <v>0.75038193196501624</v>
      </c>
      <c r="D130" s="7">
        <v>-0.48727157197011001</v>
      </c>
      <c r="E130" s="7" t="e">
        <f>100*(Monthly!#REF!-Monthly!#REF!)</f>
        <v>#REF!</v>
      </c>
      <c r="F130" s="7" t="e">
        <f>100*(Monthly!#REF!-Monthly!#REF!)</f>
        <v>#REF!</v>
      </c>
      <c r="G130" s="7">
        <v>0</v>
      </c>
    </row>
    <row r="131" spans="1:7" x14ac:dyDescent="0.3">
      <c r="A131" s="4">
        <v>26573</v>
      </c>
      <c r="B131" s="5" t="e">
        <f>Monthly!E131-Monthly!#REF!</f>
        <v>#REF!</v>
      </c>
      <c r="C131" s="7">
        <f>100*(LN(Monthly!H131)-LN(Monthly!H130))</f>
        <v>1.6664435608687356</v>
      </c>
      <c r="D131" s="7">
        <v>0.92739039189415495</v>
      </c>
      <c r="E131" s="7" t="e">
        <f>100*(Monthly!#REF!-Monthly!#REF!)</f>
        <v>#REF!</v>
      </c>
      <c r="F131" s="7" t="e">
        <f>100*(Monthly!#REF!-Monthly!#REF!)</f>
        <v>#REF!</v>
      </c>
      <c r="G131" s="7">
        <v>0</v>
      </c>
    </row>
    <row r="132" spans="1:7" x14ac:dyDescent="0.3">
      <c r="A132" s="4">
        <v>26604</v>
      </c>
      <c r="B132" s="5" t="e">
        <f>Monthly!E132-Monthly!#REF!</f>
        <v>#REF!</v>
      </c>
      <c r="C132" s="7">
        <f>100*(LN(Monthly!H132)-LN(Monthly!H131))</f>
        <v>1.9175755371769299</v>
      </c>
      <c r="D132" s="7">
        <v>4.46075823138362</v>
      </c>
      <c r="E132" s="7" t="e">
        <f>100*(Monthly!#REF!-Monthly!#REF!)</f>
        <v>#REF!</v>
      </c>
      <c r="F132" s="7" t="e">
        <f>100*(Monthly!#REF!-Monthly!#REF!)</f>
        <v>#REF!</v>
      </c>
      <c r="G132" s="7">
        <v>0</v>
      </c>
    </row>
    <row r="133" spans="1:7" x14ac:dyDescent="0.3">
      <c r="A133" s="4">
        <v>26634</v>
      </c>
      <c r="B133" s="5" t="e">
        <f>Monthly!E133-Monthly!#REF!</f>
        <v>#REF!</v>
      </c>
      <c r="C133" s="7">
        <f>100*(LN(Monthly!H133)-LN(Monthly!H132))</f>
        <v>1.147880713867</v>
      </c>
      <c r="D133" s="7">
        <v>1.1758868241462599</v>
      </c>
      <c r="E133" s="7" t="e">
        <f>100*(Monthly!#REF!-Monthly!#REF!)</f>
        <v>#REF!</v>
      </c>
      <c r="F133" s="7" t="e">
        <f>100*(Monthly!#REF!-Monthly!#REF!)</f>
        <v>#REF!</v>
      </c>
      <c r="G133" s="7">
        <v>0</v>
      </c>
    </row>
    <row r="134" spans="1:7" x14ac:dyDescent="0.3">
      <c r="A134" s="4">
        <v>26665</v>
      </c>
      <c r="B134" s="5" t="e">
        <f>Monthly!E134-Monthly!#REF!</f>
        <v>#REF!</v>
      </c>
      <c r="C134" s="7">
        <f>100*(LN(Monthly!H134)-LN(Monthly!H133))</f>
        <v>1.7162464850432713</v>
      </c>
      <c r="D134" s="7">
        <v>-1.7259521544049801</v>
      </c>
      <c r="E134" s="7" t="e">
        <f>100*(Monthly!#REF!-Monthly!#REF!)</f>
        <v>#REF!</v>
      </c>
      <c r="F134" s="7" t="e">
        <f>100*(Monthly!#REF!-Monthly!#REF!)</f>
        <v>#REF!</v>
      </c>
      <c r="G134" s="7">
        <v>0</v>
      </c>
    </row>
    <row r="135" spans="1:7" x14ac:dyDescent="0.3">
      <c r="A135" s="4">
        <v>26696</v>
      </c>
      <c r="B135" s="5" t="e">
        <f>Monthly!E135-Monthly!#REF!</f>
        <v>#REF!</v>
      </c>
      <c r="C135" s="7">
        <f>100*(LN(Monthly!H135)-LN(Monthly!H134))</f>
        <v>3.8995309700387892</v>
      </c>
      <c r="D135" s="7">
        <v>-3.8211126092218501</v>
      </c>
      <c r="E135" s="7" t="e">
        <f>100*(Monthly!#REF!-Monthly!#REF!)</f>
        <v>#REF!</v>
      </c>
      <c r="F135" s="7" t="e">
        <f>100*(Monthly!#REF!-Monthly!#REF!)</f>
        <v>#REF!</v>
      </c>
      <c r="G135" s="7">
        <v>0</v>
      </c>
    </row>
    <row r="136" spans="1:7" x14ac:dyDescent="0.3">
      <c r="A136" s="4">
        <v>26724</v>
      </c>
      <c r="B136" s="5" t="e">
        <f>Monthly!E136-Monthly!#REF!</f>
        <v>#REF!</v>
      </c>
      <c r="C136" s="7">
        <f>100*(LN(Monthly!H136)-LN(Monthly!H135))</f>
        <v>2.9112916078805284</v>
      </c>
      <c r="D136" s="7">
        <v>-0.14337248360685201</v>
      </c>
      <c r="E136" s="7" t="e">
        <f>100*(Monthly!#REF!-Monthly!#REF!)</f>
        <v>#REF!</v>
      </c>
      <c r="F136" s="7" t="e">
        <f>100*(Monthly!#REF!-Monthly!#REF!)</f>
        <v>#REF!</v>
      </c>
      <c r="G136" s="7">
        <v>0</v>
      </c>
    </row>
    <row r="137" spans="1:7" x14ac:dyDescent="0.3">
      <c r="A137" s="4">
        <v>26755</v>
      </c>
      <c r="B137" s="5" t="e">
        <f>Monthly!E137-Monthly!#REF!</f>
        <v>#REF!</v>
      </c>
      <c r="C137" s="7">
        <f>100*(LN(Monthly!H137)-LN(Monthly!H136))</f>
        <v>1.7619405252747633</v>
      </c>
      <c r="D137" s="7">
        <v>-4.16554841809055</v>
      </c>
      <c r="E137" s="7" t="e">
        <f>100*(Monthly!#REF!-Monthly!#REF!)</f>
        <v>#REF!</v>
      </c>
      <c r="F137" s="7" t="e">
        <f>100*(Monthly!#REF!-Monthly!#REF!)</f>
        <v>#REF!</v>
      </c>
      <c r="G137" s="7">
        <v>0</v>
      </c>
    </row>
    <row r="138" spans="1:7" x14ac:dyDescent="0.3">
      <c r="A138" s="4">
        <v>26785</v>
      </c>
      <c r="B138" s="5" t="e">
        <f>Monthly!E138-Monthly!#REF!</f>
        <v>#REF!</v>
      </c>
      <c r="C138" s="7">
        <f>100*(LN(Monthly!H138)-LN(Monthly!H137))</f>
        <v>1.6347243799813782</v>
      </c>
      <c r="D138" s="7">
        <v>-1.9064415541244599</v>
      </c>
      <c r="E138" s="7" t="e">
        <f>100*(Monthly!#REF!-Monthly!#REF!)</f>
        <v>#REF!</v>
      </c>
      <c r="F138" s="7" t="e">
        <f>100*(Monthly!#REF!-Monthly!#REF!)</f>
        <v>#REF!</v>
      </c>
      <c r="G138" s="7">
        <v>1</v>
      </c>
    </row>
    <row r="139" spans="1:7" x14ac:dyDescent="0.3">
      <c r="A139" s="4">
        <v>26816</v>
      </c>
      <c r="B139" s="5" t="e">
        <f>Monthly!E139-Monthly!#REF!</f>
        <v>#REF!</v>
      </c>
      <c r="C139" s="7">
        <f>100*(LN(Monthly!H139)-LN(Monthly!H138))</f>
        <v>1.8913023032897769</v>
      </c>
      <c r="D139" s="7">
        <v>-0.65962173590210305</v>
      </c>
      <c r="E139" s="7" t="e">
        <f>100*(Monthly!#REF!-Monthly!#REF!)</f>
        <v>#REF!</v>
      </c>
      <c r="F139" s="7" t="e">
        <f>100*(Monthly!#REF!-Monthly!#REF!)</f>
        <v>#REF!</v>
      </c>
      <c r="G139" s="7">
        <v>1</v>
      </c>
    </row>
    <row r="140" spans="1:7" x14ac:dyDescent="0.3">
      <c r="A140" s="4">
        <v>26846</v>
      </c>
      <c r="B140" s="5" t="e">
        <f>Monthly!E140-Monthly!#REF!</f>
        <v>#REF!</v>
      </c>
      <c r="C140" s="7">
        <f>100*(LN(Monthly!H140)-LN(Monthly!H139))</f>
        <v>1.6225133915595435</v>
      </c>
      <c r="D140" s="7">
        <v>3.72784036650047</v>
      </c>
      <c r="E140" s="7" t="e">
        <f>100*(Monthly!#REF!-Monthly!#REF!)</f>
        <v>#REF!</v>
      </c>
      <c r="F140" s="7" t="e">
        <f>100*(Monthly!#REF!-Monthly!#REF!)</f>
        <v>#REF!</v>
      </c>
      <c r="G140" s="7">
        <v>0</v>
      </c>
    </row>
    <row r="141" spans="1:7" x14ac:dyDescent="0.3">
      <c r="A141" s="4">
        <v>26877</v>
      </c>
      <c r="B141" s="5" t="e">
        <f>Monthly!E141-Monthly!#REF!</f>
        <v>#REF!</v>
      </c>
      <c r="C141" s="7">
        <f>100*(LN(Monthly!H141)-LN(Monthly!H140))</f>
        <v>1.7479860958643734</v>
      </c>
      <c r="D141" s="7">
        <v>-3.73743428155076</v>
      </c>
      <c r="E141" s="7" t="e">
        <f>100*(Monthly!#REF!-Monthly!#REF!)</f>
        <v>#REF!</v>
      </c>
      <c r="F141" s="7" t="e">
        <f>100*(Monthly!#REF!-Monthly!#REF!)</f>
        <v>#REF!</v>
      </c>
      <c r="G141" s="7">
        <v>0</v>
      </c>
    </row>
    <row r="142" spans="1:7" x14ac:dyDescent="0.3">
      <c r="A142" s="4">
        <v>26908</v>
      </c>
      <c r="B142" s="5" t="e">
        <f>Monthly!E142-Monthly!#REF!</f>
        <v>#REF!</v>
      </c>
      <c r="C142" s="7">
        <f>100*(LN(Monthly!H142)-LN(Monthly!H141))</f>
        <v>0.27702800030278141</v>
      </c>
      <c r="D142" s="7">
        <v>3.9312945619675599</v>
      </c>
      <c r="E142" s="7" t="e">
        <f>100*(Monthly!#REF!-Monthly!#REF!)</f>
        <v>#REF!</v>
      </c>
      <c r="F142" s="7" t="e">
        <f>100*(Monthly!#REF!-Monthly!#REF!)</f>
        <v>#REF!</v>
      </c>
      <c r="G142" s="7">
        <v>0</v>
      </c>
    </row>
    <row r="143" spans="1:7" x14ac:dyDescent="0.3">
      <c r="A143" s="4">
        <v>26938</v>
      </c>
      <c r="B143" s="5" t="e">
        <f>Monthly!E143-Monthly!#REF!</f>
        <v>#REF!</v>
      </c>
      <c r="C143" s="7">
        <f>100*(LN(Monthly!H143)-LN(Monthly!H142))</f>
        <v>0.41728110511458638</v>
      </c>
      <c r="D143" s="7">
        <v>-0.1291984203895</v>
      </c>
      <c r="E143" s="7" t="e">
        <f>100*(Monthly!#REF!-Monthly!#REF!)</f>
        <v>#REF!</v>
      </c>
      <c r="F143" s="7" t="e">
        <f>100*(Monthly!#REF!-Monthly!#REF!)</f>
        <v>#REF!</v>
      </c>
      <c r="G143" s="7">
        <v>0</v>
      </c>
    </row>
    <row r="144" spans="1:7" x14ac:dyDescent="0.3">
      <c r="A144" s="4">
        <v>26969</v>
      </c>
      <c r="B144" s="5" t="e">
        <f>Monthly!E144-Monthly!#REF!</f>
        <v>#REF!</v>
      </c>
      <c r="C144" s="7">
        <f>100*(LN(Monthly!H144)-LN(Monthly!H143))</f>
        <v>0.48003145721153828</v>
      </c>
      <c r="D144" s="7">
        <v>-12.0881393663916</v>
      </c>
      <c r="E144" s="7" t="e">
        <f>100*(Monthly!#REF!-Monthly!#REF!)</f>
        <v>#REF!</v>
      </c>
      <c r="F144" s="7" t="e">
        <f>100*(Monthly!#REF!-Monthly!#REF!)</f>
        <v>#REF!</v>
      </c>
      <c r="G144" s="7">
        <v>1</v>
      </c>
    </row>
    <row r="145" spans="1:7" x14ac:dyDescent="0.3">
      <c r="A145" s="4">
        <v>26999</v>
      </c>
      <c r="B145" s="5" t="e">
        <f>Monthly!E145-Monthly!#REF!</f>
        <v>#REF!</v>
      </c>
      <c r="C145" s="7">
        <f>100*(LN(Monthly!H145)-LN(Monthly!H144))</f>
        <v>0.79465684190642705</v>
      </c>
      <c r="D145" s="7">
        <v>1.64336699223815</v>
      </c>
      <c r="E145" s="7" t="e">
        <f>100*(Monthly!#REF!-Monthly!#REF!)</f>
        <v>#REF!</v>
      </c>
      <c r="F145" s="7" t="e">
        <f>100*(Monthly!#REF!-Monthly!#REF!)</f>
        <v>#REF!</v>
      </c>
      <c r="G145" s="7">
        <v>1</v>
      </c>
    </row>
    <row r="146" spans="1:7" x14ac:dyDescent="0.3">
      <c r="A146" s="4">
        <v>27030</v>
      </c>
      <c r="B146" s="5" t="e">
        <f>Monthly!E146-Monthly!#REF!</f>
        <v>#REF!</v>
      </c>
      <c r="C146" s="7">
        <f>100*(LN(Monthly!H146)-LN(Monthly!H145))</f>
        <v>1.1172914631171871</v>
      </c>
      <c r="D146" s="7">
        <v>-1.00969675344812</v>
      </c>
      <c r="E146" s="7" t="e">
        <f>100*(Monthly!#REF!-Monthly!#REF!)</f>
        <v>#REF!</v>
      </c>
      <c r="F146" s="7" t="e">
        <f>100*(Monthly!#REF!-Monthly!#REF!)</f>
        <v>#REF!</v>
      </c>
      <c r="G146" s="7">
        <v>1</v>
      </c>
    </row>
    <row r="147" spans="1:7" x14ac:dyDescent="0.3">
      <c r="A147" s="4">
        <v>27061</v>
      </c>
      <c r="B147" s="5" t="e">
        <f>Monthly!E147-Monthly!#REF!</f>
        <v>#REF!</v>
      </c>
      <c r="C147" s="7">
        <f>100*(LN(Monthly!H147)-LN(Monthly!H146))</f>
        <v>1.0673858625169785</v>
      </c>
      <c r="D147" s="7">
        <v>-0.36308818607837501</v>
      </c>
      <c r="E147" s="7" t="e">
        <f>100*(Monthly!#REF!-Monthly!#REF!)</f>
        <v>#REF!</v>
      </c>
      <c r="F147" s="7" t="e">
        <f>100*(Monthly!#REF!-Monthly!#REF!)</f>
        <v>#REF!</v>
      </c>
      <c r="G147" s="7">
        <v>0</v>
      </c>
    </row>
    <row r="148" spans="1:7" x14ac:dyDescent="0.3">
      <c r="A148" s="4">
        <v>27089</v>
      </c>
      <c r="B148" s="5" t="e">
        <f>Monthly!E148-Monthly!#REF!</f>
        <v>#REF!</v>
      </c>
      <c r="C148" s="7">
        <f>100*(LN(Monthly!H148)-LN(Monthly!H147))</f>
        <v>2.42514031482024</v>
      </c>
      <c r="D148" s="7">
        <v>-2.3555219563563199</v>
      </c>
      <c r="E148" s="7" t="e">
        <f>100*(Monthly!#REF!-Monthly!#REF!)</f>
        <v>#REF!</v>
      </c>
      <c r="F148" s="7" t="e">
        <f>100*(Monthly!#REF!-Monthly!#REF!)</f>
        <v>#REF!</v>
      </c>
      <c r="G148" s="7">
        <v>0</v>
      </c>
    </row>
    <row r="149" spans="1:7" x14ac:dyDescent="0.3">
      <c r="A149" s="4">
        <v>27120</v>
      </c>
      <c r="B149" s="5" t="e">
        <f>Monthly!E149-Monthly!#REF!</f>
        <v>#REF!</v>
      </c>
      <c r="C149" s="7">
        <f>100*(LN(Monthly!H149)-LN(Monthly!H148))</f>
        <v>3.5919869295649498</v>
      </c>
      <c r="D149" s="7">
        <v>-3.9833860165241699</v>
      </c>
      <c r="E149" s="7" t="e">
        <f>100*(Monthly!#REF!-Monthly!#REF!)</f>
        <v>#REF!</v>
      </c>
      <c r="F149" s="7" t="e">
        <f>100*(Monthly!#REF!-Monthly!#REF!)</f>
        <v>#REF!</v>
      </c>
      <c r="G149" s="7">
        <v>0</v>
      </c>
    </row>
    <row r="150" spans="1:7" x14ac:dyDescent="0.3">
      <c r="A150" s="4">
        <v>27150</v>
      </c>
      <c r="B150" s="5" t="e">
        <f>Monthly!E150-Monthly!#REF!</f>
        <v>#REF!</v>
      </c>
      <c r="C150" s="7">
        <f>100*(LN(Monthly!H150)-LN(Monthly!H149))</f>
        <v>1.4973829339195888</v>
      </c>
      <c r="D150" s="7">
        <v>-3.4126841690329202</v>
      </c>
      <c r="E150" s="7" t="e">
        <f>100*(Monthly!#REF!-Monthly!#REF!)</f>
        <v>#REF!</v>
      </c>
      <c r="F150" s="7" t="e">
        <f>100*(Monthly!#REF!-Monthly!#REF!)</f>
        <v>#REF!</v>
      </c>
      <c r="G150" s="7">
        <v>0</v>
      </c>
    </row>
    <row r="151" spans="1:7" x14ac:dyDescent="0.3">
      <c r="A151" s="4">
        <v>27181</v>
      </c>
      <c r="B151" s="5" t="e">
        <f>Monthly!E151-Monthly!#REF!</f>
        <v>#REF!</v>
      </c>
      <c r="C151" s="7">
        <f>100*(LN(Monthly!H151)-LN(Monthly!H150))</f>
        <v>1.3849979495742737</v>
      </c>
      <c r="D151" s="7">
        <v>-1.47740312852497</v>
      </c>
      <c r="E151" s="7" t="e">
        <f>100*(Monthly!#REF!-Monthly!#REF!)</f>
        <v>#REF!</v>
      </c>
      <c r="F151" s="7" t="e">
        <f>100*(Monthly!#REF!-Monthly!#REF!)</f>
        <v>#REF!</v>
      </c>
      <c r="G151" s="7">
        <v>1</v>
      </c>
    </row>
    <row r="152" spans="1:7" x14ac:dyDescent="0.3">
      <c r="A152" s="4">
        <v>27211</v>
      </c>
      <c r="B152" s="5" t="e">
        <f>Monthly!E152-Monthly!#REF!</f>
        <v>#REF!</v>
      </c>
      <c r="C152" s="7">
        <f>100*(LN(Monthly!H152)-LN(Monthly!H151))</f>
        <v>2.1308952081339427</v>
      </c>
      <c r="D152" s="7">
        <v>-8.0983102941362208</v>
      </c>
      <c r="E152" s="7" t="e">
        <f>100*(Monthly!#REF!-Monthly!#REF!)</f>
        <v>#REF!</v>
      </c>
      <c r="F152" s="7" t="e">
        <f>100*(Monthly!#REF!-Monthly!#REF!)</f>
        <v>#REF!</v>
      </c>
      <c r="G152" s="7">
        <v>1</v>
      </c>
    </row>
    <row r="153" spans="1:7" x14ac:dyDescent="0.3">
      <c r="A153" s="4">
        <v>27242</v>
      </c>
      <c r="B153" s="5" t="e">
        <f>Monthly!E153-Monthly!#REF!</f>
        <v>#REF!</v>
      </c>
      <c r="C153" s="7">
        <f>100*(LN(Monthly!H153)-LN(Monthly!H152))</f>
        <v>1.2931061044652026</v>
      </c>
      <c r="D153" s="7">
        <v>-9.4616886943563099</v>
      </c>
      <c r="E153" s="7" t="e">
        <f>100*(Monthly!#REF!-Monthly!#REF!)</f>
        <v>#REF!</v>
      </c>
      <c r="F153" s="7" t="e">
        <f>100*(Monthly!#REF!-Monthly!#REF!)</f>
        <v>#REF!</v>
      </c>
      <c r="G153" s="7">
        <v>1</v>
      </c>
    </row>
    <row r="154" spans="1:7" x14ac:dyDescent="0.3">
      <c r="A154" s="4">
        <v>27273</v>
      </c>
      <c r="B154" s="5" t="e">
        <f>Monthly!E154-Monthly!#REF!</f>
        <v>#REF!</v>
      </c>
      <c r="C154" s="7">
        <f>100*(LN(Monthly!H154)-LN(Monthly!H153))</f>
        <v>0.86127848263730655</v>
      </c>
      <c r="D154" s="7">
        <v>-12.707766311853501</v>
      </c>
      <c r="E154" s="7" t="e">
        <f>100*(Monthly!#REF!-Monthly!#REF!)</f>
        <v>#REF!</v>
      </c>
      <c r="F154" s="7" t="e">
        <f>100*(Monthly!#REF!-Monthly!#REF!)</f>
        <v>#REF!</v>
      </c>
      <c r="G154" s="7">
        <v>1</v>
      </c>
    </row>
    <row r="155" spans="1:7" x14ac:dyDescent="0.3">
      <c r="A155" s="4">
        <v>27303</v>
      </c>
      <c r="B155" s="5" t="e">
        <f>Monthly!E155-Monthly!#REF!</f>
        <v>#REF!</v>
      </c>
      <c r="C155" s="7">
        <f>100*(LN(Monthly!H155)-LN(Monthly!H154))</f>
        <v>0.6553683971495694</v>
      </c>
      <c r="D155" s="7">
        <v>15.1043205351996</v>
      </c>
      <c r="E155" s="7" t="e">
        <f>100*(Monthly!#REF!-Monthly!#REF!)</f>
        <v>#REF!</v>
      </c>
      <c r="F155" s="7" t="e">
        <f>100*(Monthly!#REF!-Monthly!#REF!)</f>
        <v>#REF!</v>
      </c>
      <c r="G155" s="7">
        <v>1</v>
      </c>
    </row>
    <row r="156" spans="1:7" x14ac:dyDescent="0.3">
      <c r="A156" s="4">
        <v>27334</v>
      </c>
      <c r="B156" s="5" t="e">
        <f>Monthly!E156-Monthly!#REF!</f>
        <v>#REF!</v>
      </c>
      <c r="C156" s="7">
        <f>100*(LN(Monthly!H156)-LN(Monthly!H155))</f>
        <v>0.61875435962823744</v>
      </c>
      <c r="D156" s="7">
        <v>-5.4646252398145396</v>
      </c>
      <c r="E156" s="7" t="e">
        <f>100*(Monthly!#REF!-Monthly!#REF!)</f>
        <v>#REF!</v>
      </c>
      <c r="F156" s="7" t="e">
        <f>100*(Monthly!#REF!-Monthly!#REF!)</f>
        <v>#REF!</v>
      </c>
      <c r="G156" s="7">
        <v>1</v>
      </c>
    </row>
    <row r="157" spans="1:7" x14ac:dyDescent="0.3">
      <c r="A157" s="4">
        <v>27364</v>
      </c>
      <c r="B157" s="5" t="e">
        <f>Monthly!E157-Monthly!#REF!</f>
        <v>#REF!</v>
      </c>
      <c r="C157" s="7">
        <f>100*(LN(Monthly!H157)-LN(Monthly!H156))</f>
        <v>0.4566127057068492</v>
      </c>
      <c r="D157" s="7">
        <v>-2.0357357524150501</v>
      </c>
      <c r="E157" s="7" t="e">
        <f>100*(Monthly!#REF!-Monthly!#REF!)</f>
        <v>#REF!</v>
      </c>
      <c r="F157" s="7" t="e">
        <f>100*(Monthly!#REF!-Monthly!#REF!)</f>
        <v>#REF!</v>
      </c>
      <c r="G157" s="7">
        <v>1</v>
      </c>
    </row>
    <row r="158" spans="1:7" x14ac:dyDescent="0.3">
      <c r="A158" s="4">
        <v>27395</v>
      </c>
      <c r="B158" s="5" t="e">
        <f>Monthly!E158-Monthly!#REF!</f>
        <v>#REF!</v>
      </c>
      <c r="C158" s="7">
        <f>100*(LN(Monthly!H158)-LN(Monthly!H157))</f>
        <v>0.16235576081831127</v>
      </c>
      <c r="D158" s="7">
        <v>11.583645278371799</v>
      </c>
      <c r="E158" s="7" t="e">
        <f>100*(Monthly!#REF!-Monthly!#REF!)</f>
        <v>#REF!</v>
      </c>
      <c r="F158" s="7" t="e">
        <f>100*(Monthly!#REF!-Monthly!#REF!)</f>
        <v>#REF!</v>
      </c>
      <c r="G158" s="7">
        <v>1</v>
      </c>
    </row>
    <row r="159" spans="1:7" x14ac:dyDescent="0.3">
      <c r="A159" s="4">
        <v>27426</v>
      </c>
      <c r="B159" s="5" t="e">
        <f>Monthly!E159-Monthly!#REF!</f>
        <v>#REF!</v>
      </c>
      <c r="C159" s="7">
        <f>100*(LN(Monthly!H159)-LN(Monthly!H158))</f>
        <v>-0.63167904457941404</v>
      </c>
      <c r="D159" s="7">
        <v>5.8160969092950001</v>
      </c>
      <c r="E159" s="7" t="e">
        <f>100*(Monthly!#REF!-Monthly!#REF!)</f>
        <v>#REF!</v>
      </c>
      <c r="F159" s="7" t="e">
        <f>100*(Monthly!#REF!-Monthly!#REF!)</f>
        <v>#REF!</v>
      </c>
      <c r="G159" s="7">
        <v>1</v>
      </c>
    </row>
    <row r="160" spans="1:7" x14ac:dyDescent="0.3">
      <c r="A160" s="4">
        <v>27454</v>
      </c>
      <c r="B160" s="5" t="e">
        <f>Monthly!E160-Monthly!#REF!</f>
        <v>#REF!</v>
      </c>
      <c r="C160" s="7">
        <f>100*(LN(Monthly!H160)-LN(Monthly!H159))</f>
        <v>-1.1949428260913386</v>
      </c>
      <c r="D160" s="7">
        <v>2.1461924770516601</v>
      </c>
      <c r="E160" s="7" t="e">
        <f>100*(Monthly!#REF!-Monthly!#REF!)</f>
        <v>#REF!</v>
      </c>
      <c r="F160" s="7" t="e">
        <f>100*(Monthly!#REF!-Monthly!#REF!)</f>
        <v>#REF!</v>
      </c>
      <c r="G160" s="7">
        <v>1</v>
      </c>
    </row>
    <row r="161" spans="1:7" x14ac:dyDescent="0.3">
      <c r="A161" s="4">
        <v>27485</v>
      </c>
      <c r="B161" s="5" t="e">
        <f>Monthly!E161-Monthly!#REF!</f>
        <v>#REF!</v>
      </c>
      <c r="C161" s="7">
        <f>100*(LN(Monthly!H161)-LN(Monthly!H160))</f>
        <v>-0.3771740417928271</v>
      </c>
      <c r="D161" s="7">
        <v>4.6181912475757496</v>
      </c>
      <c r="E161" s="7" t="e">
        <f>100*(Monthly!#REF!-Monthly!#REF!)</f>
        <v>#REF!</v>
      </c>
      <c r="F161" s="7" t="e">
        <f>100*(Monthly!#REF!-Monthly!#REF!)</f>
        <v>#REF!</v>
      </c>
      <c r="G161" s="7">
        <v>0</v>
      </c>
    </row>
    <row r="162" spans="1:7" x14ac:dyDescent="0.3">
      <c r="A162" s="4">
        <v>27515</v>
      </c>
      <c r="B162" s="5" t="e">
        <f>Monthly!E162-Monthly!#REF!</f>
        <v>#REF!</v>
      </c>
      <c r="C162" s="7">
        <f>100*(LN(Monthly!H162)-LN(Monthly!H161))</f>
        <v>-0.71590884127097354</v>
      </c>
      <c r="D162" s="7">
        <v>4.3156020062287999</v>
      </c>
      <c r="E162" s="7" t="e">
        <f>100*(Monthly!#REF!-Monthly!#REF!)</f>
        <v>#REF!</v>
      </c>
      <c r="F162" s="7" t="e">
        <f>100*(Monthly!#REF!-Monthly!#REF!)</f>
        <v>#REF!</v>
      </c>
      <c r="G162" s="7">
        <v>0</v>
      </c>
    </row>
    <row r="163" spans="1:7" x14ac:dyDescent="0.3">
      <c r="A163" s="4">
        <v>27546</v>
      </c>
      <c r="B163" s="5" t="e">
        <f>Monthly!E163-Monthly!#REF!</f>
        <v>#REF!</v>
      </c>
      <c r="C163" s="7">
        <f>100*(LN(Monthly!H163)-LN(Monthly!H162))</f>
        <v>-0.77472926824659893</v>
      </c>
      <c r="D163" s="7">
        <v>4.3368402045953101</v>
      </c>
      <c r="E163" s="7" t="e">
        <f>100*(Monthly!#REF!-Monthly!#REF!)</f>
        <v>#REF!</v>
      </c>
      <c r="F163" s="7" t="e">
        <f>100*(Monthly!#REF!-Monthly!#REF!)</f>
        <v>#REF!</v>
      </c>
      <c r="G163" s="7">
        <v>0</v>
      </c>
    </row>
    <row r="164" spans="1:7" x14ac:dyDescent="0.3">
      <c r="A164" s="4">
        <v>27576</v>
      </c>
      <c r="B164" s="5" t="e">
        <f>Monthly!E164-Monthly!#REF!</f>
        <v>#REF!</v>
      </c>
      <c r="C164" s="7">
        <f>100*(LN(Monthly!H164)-LN(Monthly!H163))</f>
        <v>-0.53599339809240476</v>
      </c>
      <c r="D164" s="7">
        <v>-7.00514915554061</v>
      </c>
      <c r="E164" s="7" t="e">
        <f>100*(Monthly!#REF!-Monthly!#REF!)</f>
        <v>#REF!</v>
      </c>
      <c r="F164" s="7" t="e">
        <f>100*(Monthly!#REF!-Monthly!#REF!)</f>
        <v>#REF!</v>
      </c>
      <c r="G164" s="7">
        <v>0</v>
      </c>
    </row>
    <row r="165" spans="1:7" x14ac:dyDescent="0.3">
      <c r="A165" s="4">
        <v>27607</v>
      </c>
      <c r="B165" s="5" t="e">
        <f>Monthly!E165-Monthly!#REF!</f>
        <v>#REF!</v>
      </c>
      <c r="C165" s="7">
        <f>100*(LN(Monthly!H165)-LN(Monthly!H164))</f>
        <v>-0.39434912657121401</v>
      </c>
      <c r="D165" s="7">
        <v>-2.1295603783413499</v>
      </c>
      <c r="E165" s="7" t="e">
        <f>100*(Monthly!#REF!-Monthly!#REF!)</f>
        <v>#REF!</v>
      </c>
      <c r="F165" s="7" t="e">
        <f>100*(Monthly!#REF!-Monthly!#REF!)</f>
        <v>#REF!</v>
      </c>
      <c r="G165" s="7">
        <v>1</v>
      </c>
    </row>
    <row r="166" spans="1:7" x14ac:dyDescent="0.3">
      <c r="A166" s="4">
        <v>27638</v>
      </c>
      <c r="B166" s="5" t="e">
        <f>Monthly!E166-Monthly!#REF!</f>
        <v>#REF!</v>
      </c>
      <c r="C166" s="7">
        <f>100*(LN(Monthly!H166)-LN(Monthly!H165))</f>
        <v>-5.8072423738675383E-2</v>
      </c>
      <c r="D166" s="7">
        <v>-3.52598108277052</v>
      </c>
      <c r="E166" s="7" t="e">
        <f>100*(Monthly!#REF!-Monthly!#REF!)</f>
        <v>#REF!</v>
      </c>
      <c r="F166" s="7" t="e">
        <f>100*(Monthly!#REF!-Monthly!#REF!)</f>
        <v>#REF!</v>
      </c>
      <c r="G166" s="7">
        <v>1</v>
      </c>
    </row>
    <row r="167" spans="1:7" x14ac:dyDescent="0.3">
      <c r="A167" s="4">
        <v>27668</v>
      </c>
      <c r="B167" s="5" t="e">
        <f>Monthly!E167-Monthly!#REF!</f>
        <v>#REF!</v>
      </c>
      <c r="C167" s="7">
        <f>100*(LN(Monthly!H167)-LN(Monthly!H166))</f>
        <v>-5.8981848104355805E-2</v>
      </c>
      <c r="D167" s="7">
        <v>5.9817703505085804</v>
      </c>
      <c r="E167" s="7" t="e">
        <f>100*(Monthly!#REF!-Monthly!#REF!)</f>
        <v>#REF!</v>
      </c>
      <c r="F167" s="7" t="e">
        <f>100*(Monthly!#REF!-Monthly!#REF!)</f>
        <v>#REF!</v>
      </c>
      <c r="G167" s="7">
        <v>0</v>
      </c>
    </row>
    <row r="168" spans="1:7" x14ac:dyDescent="0.3">
      <c r="A168" s="4">
        <v>27699</v>
      </c>
      <c r="B168" s="5" t="e">
        <f>Monthly!E168-Monthly!#REF!</f>
        <v>#REF!</v>
      </c>
      <c r="C168" s="7">
        <f>100*(LN(Monthly!H168)-LN(Monthly!H167))</f>
        <v>-5.2171567351333437E-2</v>
      </c>
      <c r="D168" s="7">
        <v>2.4407656753384002</v>
      </c>
      <c r="E168" s="7" t="e">
        <f>100*(Monthly!#REF!-Monthly!#REF!)</f>
        <v>#REF!</v>
      </c>
      <c r="F168" s="7" t="e">
        <f>100*(Monthly!#REF!-Monthly!#REF!)</f>
        <v>#REF!</v>
      </c>
      <c r="G168" s="7">
        <v>0</v>
      </c>
    </row>
    <row r="169" spans="1:7" x14ac:dyDescent="0.3">
      <c r="A169" s="4">
        <v>27729</v>
      </c>
      <c r="B169" s="5" t="e">
        <f>Monthly!E169-Monthly!#REF!</f>
        <v>#REF!</v>
      </c>
      <c r="C169" s="7">
        <f>100*(LN(Monthly!H169)-LN(Monthly!H168))</f>
        <v>0.40423305107637475</v>
      </c>
      <c r="D169" s="7">
        <v>-1.1574790755670701</v>
      </c>
      <c r="E169" s="7" t="e">
        <f>100*(Monthly!#REF!-Monthly!#REF!)</f>
        <v>#REF!</v>
      </c>
      <c r="F169" s="7" t="e">
        <f>100*(Monthly!#REF!-Monthly!#REF!)</f>
        <v>#REF!</v>
      </c>
      <c r="G169" s="7">
        <v>0</v>
      </c>
    </row>
    <row r="170" spans="1:7" x14ac:dyDescent="0.3">
      <c r="A170" s="4">
        <v>27760</v>
      </c>
      <c r="B170" s="5" t="e">
        <f>Monthly!E170-Monthly!#REF!</f>
        <v>#REF!</v>
      </c>
      <c r="C170" s="7">
        <f>100*(LN(Monthly!H170)-LN(Monthly!H169))</f>
        <v>-0.38824474659646668</v>
      </c>
      <c r="D170" s="7">
        <v>11.181483945284601</v>
      </c>
      <c r="E170" s="7" t="e">
        <f>100*(Monthly!#REF!-Monthly!#REF!)</f>
        <v>#REF!</v>
      </c>
      <c r="F170" s="7" t="e">
        <f>100*(Monthly!#REF!-Monthly!#REF!)</f>
        <v>#REF!</v>
      </c>
      <c r="G170" s="7">
        <v>0</v>
      </c>
    </row>
    <row r="171" spans="1:7" x14ac:dyDescent="0.3">
      <c r="A171" s="4">
        <v>27791</v>
      </c>
      <c r="B171" s="5" t="e">
        <f>Monthly!E171-Monthly!#REF!</f>
        <v>#REF!</v>
      </c>
      <c r="C171" s="7">
        <f>100*(LN(Monthly!H171)-LN(Monthly!H170))</f>
        <v>-0.3310737409893072</v>
      </c>
      <c r="D171" s="7">
        <v>-1.14674590412516</v>
      </c>
      <c r="E171" s="7" t="e">
        <f>100*(Monthly!#REF!-Monthly!#REF!)</f>
        <v>#REF!</v>
      </c>
      <c r="F171" s="7" t="e">
        <f>100*(Monthly!#REF!-Monthly!#REF!)</f>
        <v>#REF!</v>
      </c>
      <c r="G171" s="7">
        <v>0</v>
      </c>
    </row>
    <row r="172" spans="1:7" x14ac:dyDescent="0.3">
      <c r="A172" s="4">
        <v>27820</v>
      </c>
      <c r="B172" s="5" t="e">
        <f>Monthly!E172-Monthly!#REF!</f>
        <v>#REF!</v>
      </c>
      <c r="C172" s="7">
        <f>100*(LN(Monthly!H172)-LN(Monthly!H171))</f>
        <v>-1.414393146471582</v>
      </c>
      <c r="D172" s="7">
        <v>3.0227485313652198</v>
      </c>
      <c r="E172" s="7" t="e">
        <f>100*(Monthly!#REF!-Monthly!#REF!)</f>
        <v>#REF!</v>
      </c>
      <c r="F172" s="7" t="e">
        <f>100*(Monthly!#REF!-Monthly!#REF!)</f>
        <v>#REF!</v>
      </c>
      <c r="G172" s="7">
        <v>0</v>
      </c>
    </row>
    <row r="173" spans="1:7" x14ac:dyDescent="0.3">
      <c r="A173" s="4">
        <v>27851</v>
      </c>
      <c r="B173" s="5" t="e">
        <f>Monthly!E173-Monthly!#REF!</f>
        <v>#REF!</v>
      </c>
      <c r="C173" s="7">
        <f>100*(LN(Monthly!H173)-LN(Monthly!H172))</f>
        <v>-1.1274110683906713</v>
      </c>
      <c r="D173" s="7">
        <v>-1.10562965255224</v>
      </c>
      <c r="E173" s="7" t="e">
        <f>100*(Monthly!#REF!-Monthly!#REF!)</f>
        <v>#REF!</v>
      </c>
      <c r="F173" s="7" t="e">
        <f>100*(Monthly!#REF!-Monthly!#REF!)</f>
        <v>#REF!</v>
      </c>
      <c r="G173" s="7">
        <v>0</v>
      </c>
    </row>
    <row r="174" spans="1:7" x14ac:dyDescent="0.3">
      <c r="A174" s="4">
        <v>27881</v>
      </c>
      <c r="B174" s="5" t="e">
        <f>Monthly!E174-Monthly!#REF!</f>
        <v>#REF!</v>
      </c>
      <c r="C174" s="7">
        <f>100*(LN(Monthly!H174)-LN(Monthly!H173))</f>
        <v>0.53783676581415918</v>
      </c>
      <c r="D174" s="7">
        <v>-1.44685814711849</v>
      </c>
      <c r="E174" s="7" t="e">
        <f>100*(Monthly!#REF!-Monthly!#REF!)</f>
        <v>#REF!</v>
      </c>
      <c r="F174" s="7" t="e">
        <f>100*(Monthly!#REF!-Monthly!#REF!)</f>
        <v>#REF!</v>
      </c>
      <c r="G174" s="7">
        <v>0</v>
      </c>
    </row>
    <row r="175" spans="1:7" x14ac:dyDescent="0.3">
      <c r="A175" s="4">
        <v>27912</v>
      </c>
      <c r="B175" s="5" t="e">
        <f>Monthly!E175-Monthly!#REF!</f>
        <v>#REF!</v>
      </c>
      <c r="C175" s="7">
        <f>100*(LN(Monthly!H175)-LN(Monthly!H174))</f>
        <v>0.37445370723228066</v>
      </c>
      <c r="D175" s="7">
        <v>4.0111006383541801</v>
      </c>
      <c r="E175" s="7" t="e">
        <f>100*(Monthly!#REF!-Monthly!#REF!)</f>
        <v>#REF!</v>
      </c>
      <c r="F175" s="7" t="e">
        <f>100*(Monthly!#REF!-Monthly!#REF!)</f>
        <v>#REF!</v>
      </c>
      <c r="G175" s="7">
        <v>0</v>
      </c>
    </row>
    <row r="176" spans="1:7" x14ac:dyDescent="0.3">
      <c r="A176" s="4">
        <v>27942</v>
      </c>
      <c r="B176" s="5" t="e">
        <f>Monthly!E176-Monthly!#REF!</f>
        <v>#REF!</v>
      </c>
      <c r="C176" s="7">
        <f>100*(LN(Monthly!H176)-LN(Monthly!H175))</f>
        <v>2.2498613471366724E-2</v>
      </c>
      <c r="D176" s="7">
        <v>-0.80878192935366999</v>
      </c>
      <c r="E176" s="7" t="e">
        <f>100*(Monthly!#REF!-Monthly!#REF!)</f>
        <v>#REF!</v>
      </c>
      <c r="F176" s="7" t="e">
        <f>100*(Monthly!#REF!-Monthly!#REF!)</f>
        <v>#REF!</v>
      </c>
      <c r="G176" s="7">
        <v>0</v>
      </c>
    </row>
    <row r="177" spans="1:7" x14ac:dyDescent="0.3">
      <c r="A177" s="4">
        <v>27973</v>
      </c>
      <c r="B177" s="5" t="e">
        <f>Monthly!E177-Monthly!#REF!</f>
        <v>#REF!</v>
      </c>
      <c r="C177" s="7">
        <f>100*(LN(Monthly!H177)-LN(Monthly!H176))</f>
        <v>0.36362947005272872</v>
      </c>
      <c r="D177" s="7">
        <v>-0.51369026321965205</v>
      </c>
      <c r="E177" s="7" t="e">
        <f>100*(Monthly!#REF!-Monthly!#REF!)</f>
        <v>#REF!</v>
      </c>
      <c r="F177" s="7" t="e">
        <f>100*(Monthly!#REF!-Monthly!#REF!)</f>
        <v>#REF!</v>
      </c>
      <c r="G177" s="7">
        <v>0</v>
      </c>
    </row>
    <row r="178" spans="1:7" x14ac:dyDescent="0.3">
      <c r="A178" s="4">
        <v>28004</v>
      </c>
      <c r="B178" s="5" t="e">
        <f>Monthly!E178-Monthly!#REF!</f>
        <v>#REF!</v>
      </c>
      <c r="C178" s="7">
        <f>100*(LN(Monthly!H178)-LN(Monthly!H177))</f>
        <v>0.76367230150165</v>
      </c>
      <c r="D178" s="7">
        <v>2.2388580439882801</v>
      </c>
      <c r="E178" s="7" t="e">
        <f>100*(Monthly!#REF!-Monthly!#REF!)</f>
        <v>#REF!</v>
      </c>
      <c r="F178" s="7" t="e">
        <f>100*(Monthly!#REF!-Monthly!#REF!)</f>
        <v>#REF!</v>
      </c>
      <c r="G178" s="7">
        <v>0</v>
      </c>
    </row>
    <row r="179" spans="1:7" x14ac:dyDescent="0.3">
      <c r="A179" s="4">
        <v>28034</v>
      </c>
      <c r="B179" s="5" t="e">
        <f>Monthly!E179-Monthly!#REF!</f>
        <v>#REF!</v>
      </c>
      <c r="C179" s="7">
        <f>100*(LN(Monthly!H179)-LN(Monthly!H178))</f>
        <v>0.69585538676832925</v>
      </c>
      <c r="D179" s="7">
        <v>-2.24857782046776</v>
      </c>
      <c r="E179" s="7" t="e">
        <f>100*(Monthly!#REF!-Monthly!#REF!)</f>
        <v>#REF!</v>
      </c>
      <c r="F179" s="7" t="e">
        <f>100*(Monthly!#REF!-Monthly!#REF!)</f>
        <v>#REF!</v>
      </c>
      <c r="G179" s="7">
        <v>0</v>
      </c>
    </row>
    <row r="180" spans="1:7" x14ac:dyDescent="0.3">
      <c r="A180" s="4">
        <v>28065</v>
      </c>
      <c r="B180" s="5" t="e">
        <f>Monthly!E180-Monthly!#REF!</f>
        <v>#REF!</v>
      </c>
      <c r="C180" s="7">
        <f>100*(LN(Monthly!H180)-LN(Monthly!H179))</f>
        <v>0.79828168074325134</v>
      </c>
      <c r="D180" s="7">
        <v>-0.78049474430844101</v>
      </c>
      <c r="E180" s="7" t="e">
        <f>100*(Monthly!#REF!-Monthly!#REF!)</f>
        <v>#REF!</v>
      </c>
      <c r="F180" s="7" t="e">
        <f>100*(Monthly!#REF!-Monthly!#REF!)</f>
        <v>#REF!</v>
      </c>
      <c r="G180" s="7">
        <v>0</v>
      </c>
    </row>
    <row r="181" spans="1:7" x14ac:dyDescent="0.3">
      <c r="A181" s="4">
        <v>28095</v>
      </c>
      <c r="B181" s="5" t="e">
        <f>Monthly!E181-Monthly!#REF!</f>
        <v>#REF!</v>
      </c>
      <c r="C181" s="7">
        <f>100*(LN(Monthly!H181)-LN(Monthly!H180))</f>
        <v>0.72995377866940103</v>
      </c>
      <c r="D181" s="7">
        <v>5.1165966555297304</v>
      </c>
      <c r="E181" s="7" t="e">
        <f>100*(Monthly!#REF!-Monthly!#REF!)</f>
        <v>#REF!</v>
      </c>
      <c r="F181" s="7" t="e">
        <f>100*(Monthly!#REF!-Monthly!#REF!)</f>
        <v>#REF!</v>
      </c>
      <c r="G181" s="7">
        <v>0</v>
      </c>
    </row>
    <row r="182" spans="1:7" x14ac:dyDescent="0.3">
      <c r="A182" s="4">
        <v>28126</v>
      </c>
      <c r="B182" s="5" t="e">
        <f>Monthly!E182-Monthly!#REF!</f>
        <v>#REF!</v>
      </c>
      <c r="C182" s="7">
        <f>100*(LN(Monthly!H182)-LN(Monthly!H181))</f>
        <v>0.29086209633009119</v>
      </c>
      <c r="D182" s="7">
        <v>-5.18518010579169</v>
      </c>
      <c r="E182" s="7" t="e">
        <f>100*(Monthly!#REF!-Monthly!#REF!)</f>
        <v>#REF!</v>
      </c>
      <c r="F182" s="7" t="e">
        <f>100*(Monthly!#REF!-Monthly!#REF!)</f>
        <v>#REF!</v>
      </c>
      <c r="G182" s="7">
        <v>0</v>
      </c>
    </row>
    <row r="183" spans="1:7" x14ac:dyDescent="0.3">
      <c r="A183" s="4">
        <v>28157</v>
      </c>
      <c r="B183" s="5" t="e">
        <f>Monthly!E183-Monthly!#REF!</f>
        <v>#REF!</v>
      </c>
      <c r="C183" s="7">
        <f>100*(LN(Monthly!H183)-LN(Monthly!H182))</f>
        <v>0.87026575869364464</v>
      </c>
      <c r="D183" s="7">
        <v>-2.1898314738852598</v>
      </c>
      <c r="E183" s="7" t="e">
        <f>100*(Monthly!#REF!-Monthly!#REF!)</f>
        <v>#REF!</v>
      </c>
      <c r="F183" s="7" t="e">
        <f>100*(Monthly!#REF!-Monthly!#REF!)</f>
        <v>#REF!</v>
      </c>
      <c r="G183" s="7">
        <v>0</v>
      </c>
    </row>
    <row r="184" spans="1:7" x14ac:dyDescent="0.3">
      <c r="A184" s="4">
        <v>28185</v>
      </c>
      <c r="B184" s="5" t="e">
        <f>Monthly!E184-Monthly!#REF!</f>
        <v>#REF!</v>
      </c>
      <c r="C184" s="7">
        <f>100*(LN(Monthly!H184)-LN(Monthly!H183))</f>
        <v>0.92595319621002758</v>
      </c>
      <c r="D184" s="7">
        <v>-1.4124544150868199</v>
      </c>
      <c r="E184" s="7" t="e">
        <f>100*(Monthly!#REF!-Monthly!#REF!)</f>
        <v>#REF!</v>
      </c>
      <c r="F184" s="7" t="e">
        <f>100*(Monthly!#REF!-Monthly!#REF!)</f>
        <v>#REF!</v>
      </c>
      <c r="G184" s="7">
        <v>0</v>
      </c>
    </row>
    <row r="185" spans="1:7" x14ac:dyDescent="0.3">
      <c r="A185" s="4">
        <v>28216</v>
      </c>
      <c r="B185" s="5" t="e">
        <f>Monthly!E185-Monthly!#REF!</f>
        <v>#REF!</v>
      </c>
      <c r="C185" s="7">
        <f>100*(LN(Monthly!H185)-LN(Monthly!H184))</f>
        <v>0.60092498783204107</v>
      </c>
      <c r="D185" s="7">
        <v>2.0323349047811499E-2</v>
      </c>
      <c r="E185" s="7" t="e">
        <f>100*(Monthly!#REF!-Monthly!#REF!)</f>
        <v>#REF!</v>
      </c>
      <c r="F185" s="7" t="e">
        <f>100*(Monthly!#REF!-Monthly!#REF!)</f>
        <v>#REF!</v>
      </c>
      <c r="G185" s="7">
        <v>0</v>
      </c>
    </row>
    <row r="186" spans="1:7" x14ac:dyDescent="0.3">
      <c r="A186" s="4">
        <v>28246</v>
      </c>
      <c r="B186" s="5" t="e">
        <f>Monthly!E186-Monthly!#REF!</f>
        <v>#REF!</v>
      </c>
      <c r="C186" s="7">
        <f>100*(LN(Monthly!H186)-LN(Monthly!H185))</f>
        <v>0.77728687790115103</v>
      </c>
      <c r="D186" s="7">
        <v>-2.3849810881033</v>
      </c>
      <c r="E186" s="7" t="e">
        <f>100*(Monthly!#REF!-Monthly!#REF!)</f>
        <v>#REF!</v>
      </c>
      <c r="F186" s="7" t="e">
        <f>100*(Monthly!#REF!-Monthly!#REF!)</f>
        <v>#REF!</v>
      </c>
      <c r="G186" s="7">
        <v>0</v>
      </c>
    </row>
    <row r="187" spans="1:7" x14ac:dyDescent="0.3">
      <c r="A187" s="4">
        <v>28277</v>
      </c>
      <c r="B187" s="5" t="e">
        <f>Monthly!E187-Monthly!#REF!</f>
        <v>#REF!</v>
      </c>
      <c r="C187" s="7">
        <f>100*(LN(Monthly!H187)-LN(Monthly!H186))</f>
        <v>0.92133590775889118</v>
      </c>
      <c r="D187" s="7">
        <v>4.4361296686081699</v>
      </c>
      <c r="E187" s="7" t="e">
        <f>100*(Monthly!#REF!-Monthly!#REF!)</f>
        <v>#REF!</v>
      </c>
      <c r="F187" s="7" t="e">
        <f>100*(Monthly!#REF!-Monthly!#REF!)</f>
        <v>#REF!</v>
      </c>
      <c r="G187" s="7">
        <v>0</v>
      </c>
    </row>
    <row r="188" spans="1:7" x14ac:dyDescent="0.3">
      <c r="A188" s="4">
        <v>28307</v>
      </c>
      <c r="B188" s="5" t="e">
        <f>Monthly!E188-Monthly!#REF!</f>
        <v>#REF!</v>
      </c>
      <c r="C188" s="7">
        <f>100*(LN(Monthly!H188)-LN(Monthly!H187))</f>
        <v>0.83794652082342935</v>
      </c>
      <c r="D188" s="7">
        <v>-1.63552019485416</v>
      </c>
      <c r="E188" s="7" t="e">
        <f>100*(Monthly!#REF!-Monthly!#REF!)</f>
        <v>#REF!</v>
      </c>
      <c r="F188" s="7" t="e">
        <f>100*(Monthly!#REF!-Monthly!#REF!)</f>
        <v>#REF!</v>
      </c>
      <c r="G188" s="7">
        <v>0</v>
      </c>
    </row>
    <row r="189" spans="1:7" x14ac:dyDescent="0.3">
      <c r="A189" s="4">
        <v>28338</v>
      </c>
      <c r="B189" s="5" t="e">
        <f>Monthly!E189-Monthly!#REF!</f>
        <v>#REF!</v>
      </c>
      <c r="C189" s="7">
        <f>100*(LN(Monthly!H189)-LN(Monthly!H188))</f>
        <v>1.1738187643608455</v>
      </c>
      <c r="D189" s="7">
        <v>-2.1266539977285701</v>
      </c>
      <c r="E189" s="7" t="e">
        <f>100*(Monthly!#REF!-Monthly!#REF!)</f>
        <v>#REF!</v>
      </c>
      <c r="F189" s="7" t="e">
        <f>100*(Monthly!#REF!-Monthly!#REF!)</f>
        <v>#REF!</v>
      </c>
      <c r="G189" s="7">
        <v>0</v>
      </c>
    </row>
    <row r="190" spans="1:7" x14ac:dyDescent="0.3">
      <c r="A190" s="4">
        <v>28369</v>
      </c>
      <c r="B190" s="5" t="e">
        <f>Monthly!E190-Monthly!#REF!</f>
        <v>#REF!</v>
      </c>
      <c r="C190" s="7">
        <f>100*(LN(Monthly!H190)-LN(Monthly!H189))</f>
        <v>0.76219727398756376</v>
      </c>
      <c r="D190" s="7">
        <v>-0.248316598835184</v>
      </c>
      <c r="E190" s="7" t="e">
        <f>100*(Monthly!#REF!-Monthly!#REF!)</f>
        <v>#REF!</v>
      </c>
      <c r="F190" s="7" t="e">
        <f>100*(Monthly!#REF!-Monthly!#REF!)</f>
        <v>#REF!</v>
      </c>
      <c r="G190" s="7">
        <v>0</v>
      </c>
    </row>
    <row r="191" spans="1:7" x14ac:dyDescent="0.3">
      <c r="A191" s="4">
        <v>28399</v>
      </c>
      <c r="B191" s="5" t="e">
        <f>Monthly!E191-Monthly!#REF!</f>
        <v>#REF!</v>
      </c>
      <c r="C191" s="7">
        <f>100*(LN(Monthly!H191)-LN(Monthly!H190))</f>
        <v>1.126997419593323</v>
      </c>
      <c r="D191" s="7">
        <v>-4.43764507948105</v>
      </c>
      <c r="E191" s="7" t="e">
        <f>100*(Monthly!#REF!-Monthly!#REF!)</f>
        <v>#REF!</v>
      </c>
      <c r="F191" s="7" t="e">
        <f>100*(Monthly!#REF!-Monthly!#REF!)</f>
        <v>#REF!</v>
      </c>
      <c r="G191" s="7">
        <v>0</v>
      </c>
    </row>
    <row r="192" spans="1:7" x14ac:dyDescent="0.3">
      <c r="A192" s="4">
        <v>28430</v>
      </c>
      <c r="B192" s="5" t="e">
        <f>Monthly!E192-Monthly!#REF!</f>
        <v>#REF!</v>
      </c>
      <c r="C192" s="7">
        <f>100*(LN(Monthly!H192)-LN(Monthly!H191))</f>
        <v>0.83386142832715393</v>
      </c>
      <c r="D192" s="7">
        <v>2.6608456784577101</v>
      </c>
      <c r="E192" s="7" t="e">
        <f>100*(Monthly!#REF!-Monthly!#REF!)</f>
        <v>#REF!</v>
      </c>
      <c r="F192" s="7" t="e">
        <f>100*(Monthly!#REF!-Monthly!#REF!)</f>
        <v>#REF!</v>
      </c>
      <c r="G192" s="7">
        <v>0</v>
      </c>
    </row>
    <row r="193" spans="1:7" x14ac:dyDescent="0.3">
      <c r="A193" s="4">
        <v>28460</v>
      </c>
      <c r="B193" s="5" t="e">
        <f>Monthly!E193-Monthly!#REF!</f>
        <v>#REF!</v>
      </c>
      <c r="C193" s="7">
        <f>100*(LN(Monthly!H193)-LN(Monthly!H192))</f>
        <v>0.85261905202846933</v>
      </c>
      <c r="D193" s="7">
        <v>0.28431193019022999</v>
      </c>
      <c r="E193" s="7" t="e">
        <f>100*(Monthly!#REF!-Monthly!#REF!)</f>
        <v>#REF!</v>
      </c>
      <c r="F193" s="7" t="e">
        <f>100*(Monthly!#REF!-Monthly!#REF!)</f>
        <v>#REF!</v>
      </c>
      <c r="G193" s="7">
        <v>0</v>
      </c>
    </row>
    <row r="194" spans="1:7" x14ac:dyDescent="0.3">
      <c r="A194" s="4">
        <v>28491</v>
      </c>
      <c r="B194" s="5" t="e">
        <f>Monthly!E194-Monthly!#REF!</f>
        <v>#REF!</v>
      </c>
      <c r="C194" s="7">
        <f>100*(LN(Monthly!H194)-LN(Monthly!H193))</f>
        <v>1.2698652693016399</v>
      </c>
      <c r="D194" s="7">
        <v>-6.3487532846602202</v>
      </c>
      <c r="E194" s="7" t="e">
        <f>100*(Monthly!#REF!-Monthly!#REF!)</f>
        <v>#REF!</v>
      </c>
      <c r="F194" s="7" t="e">
        <f>100*(Monthly!#REF!-Monthly!#REF!)</f>
        <v>#REF!</v>
      </c>
      <c r="G194" s="7">
        <v>0</v>
      </c>
    </row>
    <row r="195" spans="1:7" x14ac:dyDescent="0.3">
      <c r="A195" s="4">
        <v>28522</v>
      </c>
      <c r="B195" s="5" t="e">
        <f>Monthly!E195-Monthly!#REF!</f>
        <v>#REF!</v>
      </c>
      <c r="C195" s="7">
        <f>100*(LN(Monthly!H195)-LN(Monthly!H194))</f>
        <v>1.4206370326308004</v>
      </c>
      <c r="D195" s="7">
        <v>-2.5073627033649299</v>
      </c>
      <c r="E195" s="7" t="e">
        <f>100*(Monthly!#REF!-Monthly!#REF!)</f>
        <v>#REF!</v>
      </c>
      <c r="F195" s="7" t="e">
        <f>100*(Monthly!#REF!-Monthly!#REF!)</f>
        <v>#REF!</v>
      </c>
      <c r="G195" s="7">
        <v>0</v>
      </c>
    </row>
    <row r="196" spans="1:7" x14ac:dyDescent="0.3">
      <c r="A196" s="4">
        <v>28550</v>
      </c>
      <c r="B196" s="5" t="e">
        <f>Monthly!E196-Monthly!#REF!</f>
        <v>#REF!</v>
      </c>
      <c r="C196" s="7">
        <f>100*(LN(Monthly!H196)-LN(Monthly!H195))</f>
        <v>1.5792156155426618</v>
      </c>
      <c r="D196" s="7">
        <v>2.4625337036983899</v>
      </c>
      <c r="E196" s="7" t="e">
        <f>100*(Monthly!#REF!-Monthly!#REF!)</f>
        <v>#REF!</v>
      </c>
      <c r="F196" s="7" t="e">
        <f>100*(Monthly!#REF!-Monthly!#REF!)</f>
        <v>#REF!</v>
      </c>
      <c r="G196" s="7">
        <v>0</v>
      </c>
    </row>
    <row r="197" spans="1:7" x14ac:dyDescent="0.3">
      <c r="A197" s="4">
        <v>28581</v>
      </c>
      <c r="B197" s="5" t="e">
        <f>Monthly!E197-Monthly!#REF!</f>
        <v>#REF!</v>
      </c>
      <c r="C197" s="7">
        <f>100*(LN(Monthly!H197)-LN(Monthly!H196))</f>
        <v>1.5755415798837547</v>
      </c>
      <c r="D197" s="7">
        <v>8.1963751870350094</v>
      </c>
      <c r="E197" s="7" t="e">
        <f>100*(Monthly!#REF!-Monthly!#REF!)</f>
        <v>#REF!</v>
      </c>
      <c r="F197" s="7" t="e">
        <f>100*(Monthly!#REF!-Monthly!#REF!)</f>
        <v>#REF!</v>
      </c>
      <c r="G197" s="7">
        <v>0</v>
      </c>
    </row>
    <row r="198" spans="1:7" x14ac:dyDescent="0.3">
      <c r="A198" s="4">
        <v>28611</v>
      </c>
      <c r="B198" s="5" t="e">
        <f>Monthly!E198-Monthly!#REF!</f>
        <v>#REF!</v>
      </c>
      <c r="C198" s="7">
        <f>100*(LN(Monthly!H198)-LN(Monthly!H197))</f>
        <v>1.5558669804448755</v>
      </c>
      <c r="D198" s="7">
        <v>0.42252449458500402</v>
      </c>
      <c r="E198" s="7" t="e">
        <f>100*(Monthly!#REF!-Monthly!#REF!)</f>
        <v>#REF!</v>
      </c>
      <c r="F198" s="7" t="e">
        <f>100*(Monthly!#REF!-Monthly!#REF!)</f>
        <v>#REF!</v>
      </c>
      <c r="G198" s="7">
        <v>0</v>
      </c>
    </row>
    <row r="199" spans="1:7" x14ac:dyDescent="0.3">
      <c r="A199" s="4">
        <v>28642</v>
      </c>
      <c r="B199" s="5" t="e">
        <f>Monthly!E199-Monthly!#REF!</f>
        <v>#REF!</v>
      </c>
      <c r="C199" s="7">
        <f>100*(LN(Monthly!H199)-LN(Monthly!H198))</f>
        <v>1.3857232383197804</v>
      </c>
      <c r="D199" s="7">
        <v>-1.77418059755838</v>
      </c>
      <c r="E199" s="7" t="e">
        <f>100*(Monthly!#REF!-Monthly!#REF!)</f>
        <v>#REF!</v>
      </c>
      <c r="F199" s="7" t="e">
        <f>100*(Monthly!#REF!-Monthly!#REF!)</f>
        <v>#REF!</v>
      </c>
      <c r="G199" s="7">
        <v>0</v>
      </c>
    </row>
    <row r="200" spans="1:7" x14ac:dyDescent="0.3">
      <c r="A200" s="4">
        <v>28672</v>
      </c>
      <c r="B200" s="5" t="e">
        <f>Monthly!E200-Monthly!#REF!</f>
        <v>#REF!</v>
      </c>
      <c r="C200" s="7">
        <f>100*(LN(Monthly!H200)-LN(Monthly!H199))</f>
        <v>1.2230037271373284</v>
      </c>
      <c r="D200" s="7">
        <v>5.2506851794561804</v>
      </c>
      <c r="E200" s="7" t="e">
        <f>100*(Monthly!#REF!-Monthly!#REF!)</f>
        <v>#REF!</v>
      </c>
      <c r="F200" s="7" t="e">
        <f>100*(Monthly!#REF!-Monthly!#REF!)</f>
        <v>#REF!</v>
      </c>
      <c r="G200" s="7">
        <v>0</v>
      </c>
    </row>
    <row r="201" spans="1:7" x14ac:dyDescent="0.3">
      <c r="A201" s="4">
        <v>28703</v>
      </c>
      <c r="B201" s="5" t="e">
        <f>Monthly!E201-Monthly!#REF!</f>
        <v>#REF!</v>
      </c>
      <c r="C201" s="7">
        <f>100*(LN(Monthly!H201)-LN(Monthly!H200))</f>
        <v>0.93997873284701328</v>
      </c>
      <c r="D201" s="7">
        <v>2.5593401583939901</v>
      </c>
      <c r="E201" s="7" t="e">
        <f>100*(Monthly!#REF!-Monthly!#REF!)</f>
        <v>#REF!</v>
      </c>
      <c r="F201" s="7" t="e">
        <f>100*(Monthly!#REF!-Monthly!#REF!)</f>
        <v>#REF!</v>
      </c>
      <c r="G201" s="7">
        <v>0</v>
      </c>
    </row>
    <row r="202" spans="1:7" x14ac:dyDescent="0.3">
      <c r="A202" s="4">
        <v>28734</v>
      </c>
      <c r="B202" s="5" t="e">
        <f>Monthly!E202-Monthly!#REF!</f>
        <v>#REF!</v>
      </c>
      <c r="C202" s="7">
        <f>100*(LN(Monthly!H202)-LN(Monthly!H201))</f>
        <v>0.93222317978209901</v>
      </c>
      <c r="D202" s="7">
        <v>-0.72875995981568598</v>
      </c>
      <c r="E202" s="7" t="e">
        <f>100*(Monthly!#REF!-Monthly!#REF!)</f>
        <v>#REF!</v>
      </c>
      <c r="F202" s="7" t="e">
        <f>100*(Monthly!#REF!-Monthly!#REF!)</f>
        <v>#REF!</v>
      </c>
      <c r="G202" s="7">
        <v>0</v>
      </c>
    </row>
    <row r="203" spans="1:7" x14ac:dyDescent="0.3">
      <c r="A203" s="4">
        <v>28764</v>
      </c>
      <c r="B203" s="5" t="e">
        <f>Monthly!E203-Monthly!#REF!</f>
        <v>#REF!</v>
      </c>
      <c r="C203" s="7">
        <f>100*(LN(Monthly!H203)-LN(Monthly!H202))</f>
        <v>1.0460449354063428</v>
      </c>
      <c r="D203" s="7">
        <v>-9.6041861855567703</v>
      </c>
      <c r="E203" s="7" t="e">
        <f>100*(Monthly!#REF!-Monthly!#REF!)</f>
        <v>#REF!</v>
      </c>
      <c r="F203" s="7" t="e">
        <f>100*(Monthly!#REF!-Monthly!#REF!)</f>
        <v>#REF!</v>
      </c>
      <c r="G203" s="7">
        <v>0</v>
      </c>
    </row>
    <row r="204" spans="1:7" x14ac:dyDescent="0.3">
      <c r="A204" s="4">
        <v>28795</v>
      </c>
      <c r="B204" s="5" t="e">
        <f>Monthly!E204-Monthly!#REF!</f>
        <v>#REF!</v>
      </c>
      <c r="C204" s="7">
        <f>100*(LN(Monthly!H204)-LN(Monthly!H203))</f>
        <v>1.2294197212992408</v>
      </c>
      <c r="D204" s="7">
        <v>1.6502854538024101</v>
      </c>
      <c r="E204" s="7" t="e">
        <f>100*(Monthly!#REF!-Monthly!#REF!)</f>
        <v>#REF!</v>
      </c>
      <c r="F204" s="7" t="e">
        <f>100*(Monthly!#REF!-Monthly!#REF!)</f>
        <v>#REF!</v>
      </c>
      <c r="G204" s="7">
        <v>1</v>
      </c>
    </row>
    <row r="205" spans="1:7" x14ac:dyDescent="0.3">
      <c r="A205" s="4">
        <v>28825</v>
      </c>
      <c r="B205" s="5" t="e">
        <f>Monthly!E205-Monthly!#REF!</f>
        <v>#REF!</v>
      </c>
      <c r="C205" s="7">
        <f>100*(LN(Monthly!H205)-LN(Monthly!H204))</f>
        <v>0.60594766562109825</v>
      </c>
      <c r="D205" s="7">
        <v>1.47794072192444</v>
      </c>
      <c r="E205" s="7" t="e">
        <f>100*(Monthly!#REF!-Monthly!#REF!)</f>
        <v>#REF!</v>
      </c>
      <c r="F205" s="7" t="e">
        <f>100*(Monthly!#REF!-Monthly!#REF!)</f>
        <v>#REF!</v>
      </c>
      <c r="G205" s="7">
        <v>0</v>
      </c>
    </row>
    <row r="206" spans="1:7" x14ac:dyDescent="0.3">
      <c r="A206" s="4">
        <v>28856</v>
      </c>
      <c r="B206" s="5" t="e">
        <f>Monthly!E206-Monthly!#REF!</f>
        <v>#REF!</v>
      </c>
      <c r="C206" s="7">
        <f>100*(LN(Monthly!H206)-LN(Monthly!H205))</f>
        <v>1.0556152534756613</v>
      </c>
      <c r="D206" s="7">
        <v>3.8976568741848499</v>
      </c>
      <c r="E206" s="7" t="e">
        <f>100*(Monthly!#REF!-Monthly!#REF!)</f>
        <v>#REF!</v>
      </c>
      <c r="F206" s="7" t="e">
        <f>100*(Monthly!#REF!-Monthly!#REF!)</f>
        <v>#REF!</v>
      </c>
      <c r="G206" s="7">
        <v>0</v>
      </c>
    </row>
    <row r="207" spans="1:7" x14ac:dyDescent="0.3">
      <c r="A207" s="4">
        <v>28887</v>
      </c>
      <c r="B207" s="5" t="e">
        <f>Monthly!E207-Monthly!#REF!</f>
        <v>#REF!</v>
      </c>
      <c r="C207" s="7">
        <f>100*(LN(Monthly!H207)-LN(Monthly!H206))</f>
        <v>1.7036449242223917</v>
      </c>
      <c r="D207" s="7">
        <v>-3.7209343691400401</v>
      </c>
      <c r="E207" s="7" t="e">
        <f>100*(Monthly!#REF!-Monthly!#REF!)</f>
        <v>#REF!</v>
      </c>
      <c r="F207" s="7" t="e">
        <f>100*(Monthly!#REF!-Monthly!#REF!)</f>
        <v>#REF!</v>
      </c>
      <c r="G207" s="7">
        <v>0</v>
      </c>
    </row>
    <row r="208" spans="1:7" x14ac:dyDescent="0.3">
      <c r="A208" s="4">
        <v>28915</v>
      </c>
      <c r="B208" s="5" t="e">
        <f>Monthly!E208-Monthly!#REF!</f>
        <v>#REF!</v>
      </c>
      <c r="C208" s="7">
        <f>100*(LN(Monthly!H208)-LN(Monthly!H207))</f>
        <v>1.6336051989044087</v>
      </c>
      <c r="D208" s="7">
        <v>5.3684468819328304</v>
      </c>
      <c r="E208" s="7" t="e">
        <f>100*(Monthly!#REF!-Monthly!#REF!)</f>
        <v>#REF!</v>
      </c>
      <c r="F208" s="7" t="e">
        <f>100*(Monthly!#REF!-Monthly!#REF!)</f>
        <v>#REF!</v>
      </c>
      <c r="G208" s="7">
        <v>0</v>
      </c>
    </row>
    <row r="209" spans="1:7" x14ac:dyDescent="0.3">
      <c r="A209" s="4">
        <v>28946</v>
      </c>
      <c r="B209" s="5" t="e">
        <f>Monthly!E209-Monthly!#REF!</f>
        <v>#REF!</v>
      </c>
      <c r="C209" s="7">
        <f>100*(LN(Monthly!H209)-LN(Monthly!H208))</f>
        <v>2.3394073449572339</v>
      </c>
      <c r="D209" s="7">
        <v>0.167205152912136</v>
      </c>
      <c r="E209" s="7" t="e">
        <f>100*(Monthly!#REF!-Monthly!#REF!)</f>
        <v>#REF!</v>
      </c>
      <c r="F209" s="7" t="e">
        <f>100*(Monthly!#REF!-Monthly!#REF!)</f>
        <v>#REF!</v>
      </c>
      <c r="G209" s="7">
        <v>0</v>
      </c>
    </row>
    <row r="210" spans="1:7" x14ac:dyDescent="0.3">
      <c r="A210" s="4">
        <v>28976</v>
      </c>
      <c r="B210" s="5" t="e">
        <f>Monthly!E210-Monthly!#REF!</f>
        <v>#REF!</v>
      </c>
      <c r="C210" s="7">
        <f>100*(LN(Monthly!H210)-LN(Monthly!H209))</f>
        <v>1.9411500290338779</v>
      </c>
      <c r="D210" s="7">
        <v>-2.66894974829159</v>
      </c>
      <c r="E210" s="7" t="e">
        <f>100*(Monthly!#REF!-Monthly!#REF!)</f>
        <v>#REF!</v>
      </c>
      <c r="F210" s="7" t="e">
        <f>100*(Monthly!#REF!-Monthly!#REF!)</f>
        <v>#REF!</v>
      </c>
      <c r="G210" s="7">
        <v>0</v>
      </c>
    </row>
    <row r="211" spans="1:7" x14ac:dyDescent="0.3">
      <c r="A211" s="4">
        <v>29007</v>
      </c>
      <c r="B211" s="5" t="e">
        <f>Monthly!E211-Monthly!#REF!</f>
        <v>#REF!</v>
      </c>
      <c r="C211" s="7">
        <f>100*(LN(Monthly!H211)-LN(Monthly!H210))</f>
        <v>1.8179171399224536</v>
      </c>
      <c r="D211" s="7">
        <v>3.7927232331826999</v>
      </c>
      <c r="E211" s="7" t="e">
        <f>100*(Monthly!#REF!-Monthly!#REF!)</f>
        <v>#REF!</v>
      </c>
      <c r="F211" s="7" t="e">
        <f>100*(Monthly!#REF!-Monthly!#REF!)</f>
        <v>#REF!</v>
      </c>
      <c r="G211" s="7">
        <v>0</v>
      </c>
    </row>
    <row r="212" spans="1:7" x14ac:dyDescent="0.3">
      <c r="A212" s="4">
        <v>29037</v>
      </c>
      <c r="B212" s="5" t="e">
        <f>Monthly!E212-Monthly!#REF!</f>
        <v>#REF!</v>
      </c>
      <c r="C212" s="7">
        <f>100*(LN(Monthly!H212)-LN(Monthly!H211))</f>
        <v>1.649287231387575</v>
      </c>
      <c r="D212" s="7">
        <v>0.87074262535741798</v>
      </c>
      <c r="E212" s="7" t="e">
        <f>100*(Monthly!#REF!-Monthly!#REF!)</f>
        <v>#REF!</v>
      </c>
      <c r="F212" s="7" t="e">
        <f>100*(Monthly!#REF!-Monthly!#REF!)</f>
        <v>#REF!</v>
      </c>
      <c r="G212" s="7">
        <v>0</v>
      </c>
    </row>
    <row r="213" spans="1:7" x14ac:dyDescent="0.3">
      <c r="A213" s="4">
        <v>29068</v>
      </c>
      <c r="B213" s="5" t="e">
        <f>Monthly!E213-Monthly!#REF!</f>
        <v>#REF!</v>
      </c>
      <c r="C213" s="7">
        <f>100*(LN(Monthly!H213)-LN(Monthly!H212))</f>
        <v>1.0332708901616527</v>
      </c>
      <c r="D213" s="7">
        <v>5.1717076581156798</v>
      </c>
      <c r="E213" s="7" t="e">
        <f>100*(Monthly!#REF!-Monthly!#REF!)</f>
        <v>#REF!</v>
      </c>
      <c r="F213" s="7" t="e">
        <f>100*(Monthly!#REF!-Monthly!#REF!)</f>
        <v>#REF!</v>
      </c>
      <c r="G213" s="7">
        <v>0</v>
      </c>
    </row>
    <row r="214" spans="1:7" x14ac:dyDescent="0.3">
      <c r="A214" s="4">
        <v>29099</v>
      </c>
      <c r="B214" s="5" t="e">
        <f>Monthly!E214-Monthly!#REF!</f>
        <v>#REF!</v>
      </c>
      <c r="C214" s="7">
        <f>100*(LN(Monthly!H214)-LN(Monthly!H213))</f>
        <v>1.3691054929507729</v>
      </c>
      <c r="D214" s="7">
        <v>0</v>
      </c>
      <c r="E214" s="7" t="e">
        <f>100*(Monthly!#REF!-Monthly!#REF!)</f>
        <v>#REF!</v>
      </c>
      <c r="F214" s="7" t="e">
        <f>100*(Monthly!#REF!-Monthly!#REF!)</f>
        <v>#REF!</v>
      </c>
      <c r="G214" s="7">
        <v>0</v>
      </c>
    </row>
    <row r="215" spans="1:7" x14ac:dyDescent="0.3">
      <c r="A215" s="4">
        <v>29129</v>
      </c>
      <c r="B215" s="5" t="e">
        <f>Monthly!E215-Monthly!#REF!</f>
        <v>#REF!</v>
      </c>
      <c r="C215" s="7">
        <f>100*(LN(Monthly!H215)-LN(Monthly!H214))</f>
        <v>0.64465761440306579</v>
      </c>
      <c r="D215" s="7">
        <v>-7.1072812791303503</v>
      </c>
      <c r="E215" s="7" t="e">
        <f>100*(Monthly!#REF!-Monthly!#REF!)</f>
        <v>#REF!</v>
      </c>
      <c r="F215" s="7" t="e">
        <f>100*(Monthly!#REF!-Monthly!#REF!)</f>
        <v>#REF!</v>
      </c>
      <c r="G215" s="7">
        <v>1</v>
      </c>
    </row>
    <row r="216" spans="1:7" x14ac:dyDescent="0.3">
      <c r="A216" s="4">
        <v>29160</v>
      </c>
      <c r="B216" s="5" t="e">
        <f>Monthly!E216-Monthly!#REF!</f>
        <v>#REF!</v>
      </c>
      <c r="C216" s="7">
        <f>100*(LN(Monthly!H216)-LN(Monthly!H215))</f>
        <v>0.39306953820448243</v>
      </c>
      <c r="D216" s="7">
        <v>4.1740879043102197</v>
      </c>
      <c r="E216" s="7" t="e">
        <f>100*(Monthly!#REF!-Monthly!#REF!)</f>
        <v>#REF!</v>
      </c>
      <c r="F216" s="7" t="e">
        <f>100*(Monthly!#REF!-Monthly!#REF!)</f>
        <v>#REF!</v>
      </c>
      <c r="G216" s="7">
        <v>0</v>
      </c>
    </row>
    <row r="217" spans="1:7" x14ac:dyDescent="0.3">
      <c r="A217" s="4">
        <v>29190</v>
      </c>
      <c r="B217" s="5" t="e">
        <f>Monthly!E217-Monthly!#REF!</f>
        <v>#REF!</v>
      </c>
      <c r="C217" s="7">
        <f>100*(LN(Monthly!H217)-LN(Monthly!H216))</f>
        <v>0.89324156893324513</v>
      </c>
      <c r="D217" s="7">
        <v>1.66281152885921</v>
      </c>
      <c r="E217" s="7" t="e">
        <f>100*(Monthly!#REF!-Monthly!#REF!)</f>
        <v>#REF!</v>
      </c>
      <c r="F217" s="7" t="e">
        <f>100*(Monthly!#REF!-Monthly!#REF!)</f>
        <v>#REF!</v>
      </c>
      <c r="G217" s="7">
        <v>0</v>
      </c>
    </row>
    <row r="218" spans="1:7" x14ac:dyDescent="0.3">
      <c r="A218" s="4">
        <v>29221</v>
      </c>
      <c r="B218" s="5" t="e">
        <f>Monthly!E218-Monthly!#REF!</f>
        <v>#REF!</v>
      </c>
      <c r="C218" s="7">
        <f>100*(LN(Monthly!H218)-LN(Monthly!H217))</f>
        <v>0.7565889177748808</v>
      </c>
      <c r="D218" s="7">
        <v>5.6025465438648503</v>
      </c>
      <c r="E218" s="7" t="e">
        <f>100*(Monthly!#REF!-Monthly!#REF!)</f>
        <v>#REF!</v>
      </c>
      <c r="F218" s="7" t="e">
        <f>100*(Monthly!#REF!-Monthly!#REF!)</f>
        <v>#REF!</v>
      </c>
      <c r="G218" s="7">
        <v>0</v>
      </c>
    </row>
    <row r="219" spans="1:7" x14ac:dyDescent="0.3">
      <c r="A219" s="4">
        <v>29252</v>
      </c>
      <c r="B219" s="5" t="e">
        <f>Monthly!E219-Monthly!#REF!</f>
        <v>#REF!</v>
      </c>
      <c r="C219" s="7">
        <f>100*(LN(Monthly!H219)-LN(Monthly!H218))</f>
        <v>1.3472780769985704</v>
      </c>
      <c r="D219" s="7">
        <v>-0.43894371584884001</v>
      </c>
      <c r="E219" s="7" t="e">
        <f>100*(Monthly!#REF!-Monthly!#REF!)</f>
        <v>#REF!</v>
      </c>
      <c r="F219" s="7" t="e">
        <f>100*(Monthly!#REF!-Monthly!#REF!)</f>
        <v>#REF!</v>
      </c>
      <c r="G219" s="7">
        <v>0</v>
      </c>
    </row>
    <row r="220" spans="1:7" x14ac:dyDescent="0.3">
      <c r="A220" s="4">
        <v>29281</v>
      </c>
      <c r="B220" s="5" t="e">
        <f>Monthly!E220-Monthly!#REF!</f>
        <v>#REF!</v>
      </c>
      <c r="C220" s="7">
        <f>100*(LN(Monthly!H220)-LN(Monthly!H219))</f>
        <v>1.2907758018048554</v>
      </c>
      <c r="D220" s="7">
        <v>-10.7356826779294</v>
      </c>
      <c r="E220" s="7" t="e">
        <f>100*(Monthly!#REF!-Monthly!#REF!)</f>
        <v>#REF!</v>
      </c>
      <c r="F220" s="7" t="e">
        <f>100*(Monthly!#REF!-Monthly!#REF!)</f>
        <v>#REF!</v>
      </c>
      <c r="G220" s="7">
        <v>1</v>
      </c>
    </row>
    <row r="221" spans="1:7" x14ac:dyDescent="0.3">
      <c r="A221" s="4">
        <v>29312</v>
      </c>
      <c r="B221" s="5" t="e">
        <f>Monthly!E221-Monthly!#REF!</f>
        <v>#REF!</v>
      </c>
      <c r="C221" s="7">
        <f>100*(LN(Monthly!H221)-LN(Monthly!H220))</f>
        <v>0.41980370840031256</v>
      </c>
      <c r="D221" s="7">
        <v>4.0316474849433996</v>
      </c>
      <c r="E221" s="7" t="e">
        <f>100*(Monthly!#REF!-Monthly!#REF!)</f>
        <v>#REF!</v>
      </c>
      <c r="F221" s="7" t="e">
        <f>100*(Monthly!#REF!-Monthly!#REF!)</f>
        <v>#REF!</v>
      </c>
      <c r="G221" s="7">
        <v>1</v>
      </c>
    </row>
    <row r="222" spans="1:7" x14ac:dyDescent="0.3">
      <c r="A222" s="4">
        <v>29342</v>
      </c>
      <c r="B222" s="5" t="e">
        <f>Monthly!E222-Monthly!#REF!</f>
        <v>#REF!</v>
      </c>
      <c r="C222" s="7">
        <f>100*(LN(Monthly!H222)-LN(Monthly!H221))</f>
        <v>-0.94157764453877135</v>
      </c>
      <c r="D222" s="7">
        <v>4.5518794002990601</v>
      </c>
      <c r="E222" s="7" t="e">
        <f>100*(Monthly!#REF!-Monthly!#REF!)</f>
        <v>#REF!</v>
      </c>
      <c r="F222" s="7" t="e">
        <f>100*(Monthly!#REF!-Monthly!#REF!)</f>
        <v>#REF!</v>
      </c>
      <c r="G222" s="7">
        <v>0</v>
      </c>
    </row>
    <row r="223" spans="1:7" x14ac:dyDescent="0.3">
      <c r="A223" s="4">
        <v>29373</v>
      </c>
      <c r="B223" s="5" t="e">
        <f>Monthly!E223-Monthly!#REF!</f>
        <v>#REF!</v>
      </c>
      <c r="C223" s="7">
        <f>100*(LN(Monthly!H223)-LN(Monthly!H222))</f>
        <v>-0.29242543487759676</v>
      </c>
      <c r="D223" s="7">
        <v>2.6611469729811601</v>
      </c>
      <c r="E223" s="7" t="e">
        <f>100*(Monthly!#REF!-Monthly!#REF!)</f>
        <v>#REF!</v>
      </c>
      <c r="F223" s="7" t="e">
        <f>100*(Monthly!#REF!-Monthly!#REF!)</f>
        <v>#REF!</v>
      </c>
      <c r="G223" s="7">
        <v>0</v>
      </c>
    </row>
    <row r="224" spans="1:7" x14ac:dyDescent="0.3">
      <c r="A224" s="4">
        <v>29403</v>
      </c>
      <c r="B224" s="5" t="e">
        <f>Monthly!E224-Monthly!#REF!</f>
        <v>#REF!</v>
      </c>
      <c r="C224" s="7">
        <f>100*(LN(Monthly!H224)-LN(Monthly!H223))</f>
        <v>0.35489758011539863</v>
      </c>
      <c r="D224" s="7">
        <v>6.3010966858227597</v>
      </c>
      <c r="E224" s="7" t="e">
        <f>100*(Monthly!#REF!-Monthly!#REF!)</f>
        <v>#REF!</v>
      </c>
      <c r="F224" s="7" t="e">
        <f>100*(Monthly!#REF!-Monthly!#REF!)</f>
        <v>#REF!</v>
      </c>
      <c r="G224" s="7">
        <v>0</v>
      </c>
    </row>
    <row r="225" spans="1:7" x14ac:dyDescent="0.3">
      <c r="A225" s="4">
        <v>29434</v>
      </c>
      <c r="B225" s="5" t="e">
        <f>Monthly!E225-Monthly!#REF!</f>
        <v>#REF!</v>
      </c>
      <c r="C225" s="7">
        <f>100*(LN(Monthly!H225)-LN(Monthly!H224))</f>
        <v>1.1702486273355461</v>
      </c>
      <c r="D225" s="7">
        <v>0.58184888413260605</v>
      </c>
      <c r="E225" s="7" t="e">
        <f>100*(Monthly!#REF!-Monthly!#REF!)</f>
        <v>#REF!</v>
      </c>
      <c r="F225" s="7" t="e">
        <f>100*(Monthly!#REF!-Monthly!#REF!)</f>
        <v>#REF!</v>
      </c>
      <c r="G225" s="7">
        <v>0</v>
      </c>
    </row>
    <row r="226" spans="1:7" x14ac:dyDescent="0.3">
      <c r="A226" s="4">
        <v>29465</v>
      </c>
      <c r="B226" s="5" t="e">
        <f>Monthly!E226-Monthly!#REF!</f>
        <v>#REF!</v>
      </c>
      <c r="C226" s="7">
        <f>100*(LN(Monthly!H226)-LN(Monthly!H225))</f>
        <v>1.1406342536064429</v>
      </c>
      <c r="D226" s="7">
        <v>2.4856039779901402</v>
      </c>
      <c r="E226" s="7" t="e">
        <f>100*(Monthly!#REF!-Monthly!#REF!)</f>
        <v>#REF!</v>
      </c>
      <c r="F226" s="7" t="e">
        <f>100*(Monthly!#REF!-Monthly!#REF!)</f>
        <v>#REF!</v>
      </c>
      <c r="G226" s="7">
        <v>1</v>
      </c>
    </row>
    <row r="227" spans="1:7" x14ac:dyDescent="0.3">
      <c r="A227" s="4">
        <v>29495</v>
      </c>
      <c r="B227" s="5" t="e">
        <f>Monthly!E227-Monthly!#REF!</f>
        <v>#REF!</v>
      </c>
      <c r="C227" s="7">
        <f>100*(LN(Monthly!H227)-LN(Monthly!H226))</f>
        <v>1.7368412177896531</v>
      </c>
      <c r="D227" s="7">
        <v>1.5894076999992399</v>
      </c>
      <c r="E227" s="7" t="e">
        <f>100*(Monthly!#REF!-Monthly!#REF!)</f>
        <v>#REF!</v>
      </c>
      <c r="F227" s="7" t="e">
        <f>100*(Monthly!#REF!-Monthly!#REF!)</f>
        <v>#REF!</v>
      </c>
      <c r="G227" s="7">
        <v>0</v>
      </c>
    </row>
    <row r="228" spans="1:7" x14ac:dyDescent="0.3">
      <c r="A228" s="4">
        <v>29526</v>
      </c>
      <c r="B228" s="5" t="e">
        <f>Monthly!E228-Monthly!#REF!</f>
        <v>#REF!</v>
      </c>
      <c r="C228" s="7">
        <f>100*(LN(Monthly!H228)-LN(Monthly!H227))</f>
        <v>2.4426091992730825</v>
      </c>
      <c r="D228" s="7">
        <v>9.7468805431047194</v>
      </c>
      <c r="E228" s="7" t="e">
        <f>100*(Monthly!#REF!-Monthly!#REF!)</f>
        <v>#REF!</v>
      </c>
      <c r="F228" s="7" t="e">
        <f>100*(Monthly!#REF!-Monthly!#REF!)</f>
        <v>#REF!</v>
      </c>
      <c r="G228" s="7">
        <v>1</v>
      </c>
    </row>
    <row r="229" spans="1:7" x14ac:dyDescent="0.3">
      <c r="A229" s="4">
        <v>29556</v>
      </c>
      <c r="B229" s="5" t="e">
        <f>Monthly!E229-Monthly!#REF!</f>
        <v>#REF!</v>
      </c>
      <c r="C229" s="7">
        <f>100*(LN(Monthly!H229)-LN(Monthly!H228))</f>
        <v>1.5059713500538585</v>
      </c>
      <c r="D229" s="7">
        <v>-3.4461277338618599</v>
      </c>
      <c r="E229" s="7" t="e">
        <f>100*(Monthly!#REF!-Monthly!#REF!)</f>
        <v>#REF!</v>
      </c>
      <c r="F229" s="7" t="e">
        <f>100*(Monthly!#REF!-Monthly!#REF!)</f>
        <v>#REF!</v>
      </c>
      <c r="G229" s="7">
        <v>1</v>
      </c>
    </row>
    <row r="230" spans="1:7" x14ac:dyDescent="0.3">
      <c r="A230" s="4">
        <v>29587</v>
      </c>
      <c r="B230" s="5" t="e">
        <f>Monthly!E230-Monthly!#REF!</f>
        <v>#REF!</v>
      </c>
      <c r="C230" s="7">
        <f>100*(LN(Monthly!H230)-LN(Monthly!H229))</f>
        <v>0.13255607910958034</v>
      </c>
      <c r="D230" s="7">
        <v>-4.6821649898932902</v>
      </c>
      <c r="E230" s="7" t="e">
        <f>100*(Monthly!#REF!-Monthly!#REF!)</f>
        <v>#REF!</v>
      </c>
      <c r="F230" s="7" t="e">
        <f>100*(Monthly!#REF!-Monthly!#REF!)</f>
        <v>#REF!</v>
      </c>
      <c r="G230" s="7">
        <v>0</v>
      </c>
    </row>
    <row r="231" spans="1:7" x14ac:dyDescent="0.3">
      <c r="A231" s="4">
        <v>29618</v>
      </c>
      <c r="B231" s="5" t="e">
        <f>Monthly!E231-Monthly!#REF!</f>
        <v>#REF!</v>
      </c>
      <c r="C231" s="7">
        <f>100*(LN(Monthly!H231)-LN(Monthly!H230))</f>
        <v>0.21254251336726426</v>
      </c>
      <c r="D231" s="7">
        <v>1.3189372797718399</v>
      </c>
      <c r="E231" s="7" t="e">
        <f>100*(Monthly!#REF!-Monthly!#REF!)</f>
        <v>#REF!</v>
      </c>
      <c r="F231" s="7" t="e">
        <f>100*(Monthly!#REF!-Monthly!#REF!)</f>
        <v>#REF!</v>
      </c>
      <c r="G231" s="7">
        <v>0</v>
      </c>
    </row>
    <row r="232" spans="1:7" x14ac:dyDescent="0.3">
      <c r="A232" s="4">
        <v>29646</v>
      </c>
      <c r="B232" s="5" t="e">
        <f>Monthly!E232-Monthly!#REF!</f>
        <v>#REF!</v>
      </c>
      <c r="C232" s="7">
        <f>100*(LN(Monthly!H232)-LN(Monthly!H231))</f>
        <v>0.40678272848557739</v>
      </c>
      <c r="D232" s="7">
        <v>3.5398582373612602</v>
      </c>
      <c r="E232" s="7" t="e">
        <f>100*(Monthly!#REF!-Monthly!#REF!)</f>
        <v>#REF!</v>
      </c>
      <c r="F232" s="7" t="e">
        <f>100*(Monthly!#REF!-Monthly!#REF!)</f>
        <v>#REF!</v>
      </c>
      <c r="G232" s="7">
        <v>0</v>
      </c>
    </row>
    <row r="233" spans="1:7" x14ac:dyDescent="0.3">
      <c r="A233" s="4">
        <v>29677</v>
      </c>
      <c r="B233" s="5" t="e">
        <f>Monthly!E233-Monthly!#REF!</f>
        <v>#REF!</v>
      </c>
      <c r="C233" s="7">
        <f>100*(LN(Monthly!H233)-LN(Monthly!H232))</f>
        <v>1.2985260410237842</v>
      </c>
      <c r="D233" s="7">
        <v>-2.37353687065918</v>
      </c>
      <c r="E233" s="7" t="e">
        <f>100*(Monthly!#REF!-Monthly!#REF!)</f>
        <v>#REF!</v>
      </c>
      <c r="F233" s="7" t="e">
        <f>100*(Monthly!#REF!-Monthly!#REF!)</f>
        <v>#REF!</v>
      </c>
      <c r="G233" s="7">
        <v>0</v>
      </c>
    </row>
    <row r="234" spans="1:7" x14ac:dyDescent="0.3">
      <c r="A234" s="4">
        <v>29707</v>
      </c>
      <c r="B234" s="5" t="e">
        <f>Monthly!E234-Monthly!#REF!</f>
        <v>#REF!</v>
      </c>
      <c r="C234" s="7">
        <f>100*(LN(Monthly!H234)-LN(Monthly!H233))</f>
        <v>1.736038858878608</v>
      </c>
      <c r="D234" s="7">
        <v>-0.165788452263394</v>
      </c>
      <c r="E234" s="7" t="e">
        <f>100*(Monthly!#REF!-Monthly!#REF!)</f>
        <v>#REF!</v>
      </c>
      <c r="F234" s="7" t="e">
        <f>100*(Monthly!#REF!-Monthly!#REF!)</f>
        <v>#REF!</v>
      </c>
      <c r="G234" s="7">
        <v>0</v>
      </c>
    </row>
    <row r="235" spans="1:7" x14ac:dyDescent="0.3">
      <c r="A235" s="4">
        <v>29738</v>
      </c>
      <c r="B235" s="5" t="e">
        <f>Monthly!E235-Monthly!#REF!</f>
        <v>#REF!</v>
      </c>
      <c r="C235" s="7">
        <f>100*(LN(Monthly!H235)-LN(Monthly!H234))</f>
        <v>1.2549290596968632</v>
      </c>
      <c r="D235" s="7">
        <v>-1.0462488220335</v>
      </c>
      <c r="E235" s="7" t="e">
        <f>100*(Monthly!#REF!-Monthly!#REF!)</f>
        <v>#REF!</v>
      </c>
      <c r="F235" s="7" t="e">
        <f>100*(Monthly!#REF!-Monthly!#REF!)</f>
        <v>#REF!</v>
      </c>
      <c r="G235" s="7">
        <v>0</v>
      </c>
    </row>
    <row r="236" spans="1:7" x14ac:dyDescent="0.3">
      <c r="A236" s="4">
        <v>29768</v>
      </c>
      <c r="B236" s="5" t="e">
        <f>Monthly!E236-Monthly!#REF!</f>
        <v>#REF!</v>
      </c>
      <c r="C236" s="7">
        <f>100*(LN(Monthly!H236)-LN(Monthly!H235))</f>
        <v>1.1164765080335037</v>
      </c>
      <c r="D236" s="7">
        <v>-0.22127086395692999</v>
      </c>
      <c r="E236" s="7" t="e">
        <f>100*(Monthly!#REF!-Monthly!#REF!)</f>
        <v>#REF!</v>
      </c>
      <c r="F236" s="7" t="e">
        <f>100*(Monthly!#REF!-Monthly!#REF!)</f>
        <v>#REF!</v>
      </c>
      <c r="G236" s="7">
        <v>0</v>
      </c>
    </row>
    <row r="237" spans="1:7" x14ac:dyDescent="0.3">
      <c r="A237" s="4">
        <v>29799</v>
      </c>
      <c r="B237" s="5" t="e">
        <f>Monthly!E237-Monthly!#REF!</f>
        <v>#REF!</v>
      </c>
      <c r="C237" s="7">
        <f>100*(LN(Monthly!H237)-LN(Monthly!H236))</f>
        <v>1.3962042845891531</v>
      </c>
      <c r="D237" s="7">
        <v>-6.4110849018459</v>
      </c>
      <c r="E237" s="7" t="e">
        <f>100*(Monthly!#REF!-Monthly!#REF!)</f>
        <v>#REF!</v>
      </c>
      <c r="F237" s="7" t="e">
        <f>100*(Monthly!#REF!-Monthly!#REF!)</f>
        <v>#REF!</v>
      </c>
      <c r="G237" s="7">
        <v>0</v>
      </c>
    </row>
    <row r="238" spans="1:7" x14ac:dyDescent="0.3">
      <c r="A238" s="4">
        <v>29830</v>
      </c>
      <c r="B238" s="5" t="e">
        <f>Monthly!E238-Monthly!#REF!</f>
        <v>#REF!</v>
      </c>
      <c r="C238" s="7">
        <f>100*(LN(Monthly!H238)-LN(Monthly!H237))</f>
        <v>0.47210556701129391</v>
      </c>
      <c r="D238" s="7">
        <v>-5.5334871437326596</v>
      </c>
      <c r="E238" s="7" t="e">
        <f>100*(Monthly!#REF!-Monthly!#REF!)</f>
        <v>#REF!</v>
      </c>
      <c r="F238" s="7" t="e">
        <f>100*(Monthly!#REF!-Monthly!#REF!)</f>
        <v>#REF!</v>
      </c>
      <c r="G238" s="7">
        <v>1</v>
      </c>
    </row>
    <row r="239" spans="1:7" x14ac:dyDescent="0.3">
      <c r="A239" s="4">
        <v>29860</v>
      </c>
      <c r="B239" s="5" t="e">
        <f>Monthly!E239-Monthly!#REF!</f>
        <v>#REF!</v>
      </c>
      <c r="C239" s="7">
        <f>100*(LN(Monthly!H239)-LN(Monthly!H238))</f>
        <v>0.9078038608992145</v>
      </c>
      <c r="D239" s="7">
        <v>4.7978278469212396</v>
      </c>
      <c r="E239" s="7" t="e">
        <f>100*(Monthly!#REF!-Monthly!#REF!)</f>
        <v>#REF!</v>
      </c>
      <c r="F239" s="7" t="e">
        <f>100*(Monthly!#REF!-Monthly!#REF!)</f>
        <v>#REF!</v>
      </c>
      <c r="G239" s="7">
        <v>0</v>
      </c>
    </row>
    <row r="240" spans="1:7" x14ac:dyDescent="0.3">
      <c r="A240" s="4">
        <v>29891</v>
      </c>
      <c r="B240" s="5" t="e">
        <f>Monthly!E240-Monthly!#REF!</f>
        <v>#REF!</v>
      </c>
      <c r="C240" s="7">
        <f>100*(LN(Monthly!H240)-LN(Monthly!H239))</f>
        <v>1.2552521519476834</v>
      </c>
      <c r="D240" s="7">
        <v>3.5936828097250602</v>
      </c>
      <c r="E240" s="7" t="e">
        <f>100*(Monthly!#REF!-Monthly!#REF!)</f>
        <v>#REF!</v>
      </c>
      <c r="F240" s="7" t="e">
        <f>100*(Monthly!#REF!-Monthly!#REF!)</f>
        <v>#REF!</v>
      </c>
      <c r="G240" s="7">
        <v>0</v>
      </c>
    </row>
    <row r="241" spans="1:7" x14ac:dyDescent="0.3">
      <c r="A241" s="4">
        <v>29921</v>
      </c>
      <c r="B241" s="5" t="e">
        <f>Monthly!E241-Monthly!#REF!</f>
        <v>#REF!</v>
      </c>
      <c r="C241" s="7">
        <f>100*(LN(Monthly!H241)-LN(Monthly!H240))</f>
        <v>1.3793797904653182</v>
      </c>
      <c r="D241" s="7">
        <v>-3.0536686881333299</v>
      </c>
      <c r="E241" s="7" t="e">
        <f>100*(Monthly!#REF!-Monthly!#REF!)</f>
        <v>#REF!</v>
      </c>
      <c r="F241" s="7" t="e">
        <f>100*(Monthly!#REF!-Monthly!#REF!)</f>
        <v>#REF!</v>
      </c>
      <c r="G241" s="7">
        <v>0</v>
      </c>
    </row>
    <row r="242" spans="1:7" x14ac:dyDescent="0.3">
      <c r="A242" s="4">
        <v>29952</v>
      </c>
      <c r="B242" s="5" t="e">
        <f>Monthly!E242-Monthly!#REF!</f>
        <v>#REF!</v>
      </c>
      <c r="C242" s="7">
        <f>100*(LN(Monthly!H242)-LN(Monthly!H241))</f>
        <v>1.2870572355034859</v>
      </c>
      <c r="D242" s="7">
        <v>-1.7699589328132299</v>
      </c>
      <c r="E242" s="7" t="e">
        <f>100*(Monthly!#REF!-Monthly!#REF!)</f>
        <v>#REF!</v>
      </c>
      <c r="F242" s="7" t="e">
        <f>100*(Monthly!#REF!-Monthly!#REF!)</f>
        <v>#REF!</v>
      </c>
      <c r="G242" s="7">
        <v>1</v>
      </c>
    </row>
    <row r="243" spans="1:7" x14ac:dyDescent="0.3">
      <c r="A243" s="4">
        <v>29983</v>
      </c>
      <c r="B243" s="5" t="e">
        <f>Monthly!E243-Monthly!#REF!</f>
        <v>#REF!</v>
      </c>
      <c r="C243" s="7">
        <f>100*(LN(Monthly!H243)-LN(Monthly!H242))</f>
        <v>1.6402085414552126</v>
      </c>
      <c r="D243" s="7">
        <v>-6.2458743608755203</v>
      </c>
      <c r="E243" s="7" t="e">
        <f>100*(Monthly!#REF!-Monthly!#REF!)</f>
        <v>#REF!</v>
      </c>
      <c r="F243" s="7" t="e">
        <f>100*(Monthly!#REF!-Monthly!#REF!)</f>
        <v>#REF!</v>
      </c>
      <c r="G243" s="7">
        <v>0</v>
      </c>
    </row>
    <row r="244" spans="1:7" x14ac:dyDescent="0.3">
      <c r="A244" s="4">
        <v>30011</v>
      </c>
      <c r="B244" s="5" t="e">
        <f>Monthly!E244-Monthly!#REF!</f>
        <v>#REF!</v>
      </c>
      <c r="C244" s="7">
        <f>100*(LN(Monthly!H244)-LN(Monthly!H243))</f>
        <v>0.89995160917553108</v>
      </c>
      <c r="D244" s="7">
        <v>-1.02191454693971</v>
      </c>
      <c r="E244" s="7" t="e">
        <f>100*(Monthly!#REF!-Monthly!#REF!)</f>
        <v>#REF!</v>
      </c>
      <c r="F244" s="7" t="e">
        <f>100*(Monthly!#REF!-Monthly!#REF!)</f>
        <v>#REF!</v>
      </c>
      <c r="G244" s="7">
        <v>0</v>
      </c>
    </row>
    <row r="245" spans="1:7" x14ac:dyDescent="0.3">
      <c r="A245" s="4">
        <v>30042</v>
      </c>
      <c r="B245" s="5" t="e">
        <f>Monthly!E245-Monthly!#REF!</f>
        <v>#REF!</v>
      </c>
      <c r="C245" s="7">
        <f>100*(LN(Monthly!H245)-LN(Monthly!H244))</f>
        <v>1.9270257135235447</v>
      </c>
      <c r="D245" s="7">
        <v>3.9234483374516498</v>
      </c>
      <c r="E245" s="7" t="e">
        <f>100*(Monthly!#REF!-Monthly!#REF!)</f>
        <v>#REF!</v>
      </c>
      <c r="F245" s="7" t="e">
        <f>100*(Monthly!#REF!-Monthly!#REF!)</f>
        <v>#REF!</v>
      </c>
      <c r="G245" s="7">
        <v>0</v>
      </c>
    </row>
    <row r="246" spans="1:7" x14ac:dyDescent="0.3">
      <c r="A246" s="4">
        <v>30072</v>
      </c>
      <c r="B246" s="5" t="e">
        <f>Monthly!E246-Monthly!#REF!</f>
        <v>#REF!</v>
      </c>
      <c r="C246" s="7">
        <f>100*(LN(Monthly!H246)-LN(Monthly!H245))</f>
        <v>1.3187725696329089</v>
      </c>
      <c r="D246" s="7">
        <v>-3.9949296060095598</v>
      </c>
      <c r="E246" s="7" t="e">
        <f>100*(Monthly!#REF!-Monthly!#REF!)</f>
        <v>#REF!</v>
      </c>
      <c r="F246" s="7" t="e">
        <f>100*(Monthly!#REF!-Monthly!#REF!)</f>
        <v>#REF!</v>
      </c>
      <c r="G246" s="7">
        <v>0</v>
      </c>
    </row>
    <row r="247" spans="1:7" x14ac:dyDescent="0.3">
      <c r="A247" s="4">
        <v>30103</v>
      </c>
      <c r="B247" s="5" t="e">
        <f>Monthly!E247-Monthly!#REF!</f>
        <v>#REF!</v>
      </c>
      <c r="C247" s="7">
        <f>100*(LN(Monthly!H247)-LN(Monthly!H246))</f>
        <v>1.2112820616811959</v>
      </c>
      <c r="D247" s="7">
        <v>-2.04982269883768</v>
      </c>
      <c r="E247" s="7" t="e">
        <f>100*(Monthly!#REF!-Monthly!#REF!)</f>
        <v>#REF!</v>
      </c>
      <c r="F247" s="7" t="e">
        <f>100*(Monthly!#REF!-Monthly!#REF!)</f>
        <v>#REF!</v>
      </c>
      <c r="G247" s="7">
        <v>0</v>
      </c>
    </row>
    <row r="248" spans="1:7" x14ac:dyDescent="0.3">
      <c r="A248" s="4">
        <v>30133</v>
      </c>
      <c r="B248" s="5" t="e">
        <f>Monthly!E248-Monthly!#REF!</f>
        <v>#REF!</v>
      </c>
      <c r="C248" s="7">
        <f>100*(LN(Monthly!H248)-LN(Monthly!H247))</f>
        <v>0.91014597655103557</v>
      </c>
      <c r="D248" s="7">
        <v>-2.3259048579799799</v>
      </c>
      <c r="E248" s="7" t="e">
        <f>100*(Monthly!#REF!-Monthly!#REF!)</f>
        <v>#REF!</v>
      </c>
      <c r="F248" s="7" t="e">
        <f>100*(Monthly!#REF!-Monthly!#REF!)</f>
        <v>#REF!</v>
      </c>
      <c r="G248" s="7">
        <v>0</v>
      </c>
    </row>
    <row r="249" spans="1:7" x14ac:dyDescent="0.3">
      <c r="A249" s="4">
        <v>30164</v>
      </c>
      <c r="B249" s="5" t="e">
        <f>Monthly!E249-Monthly!#REF!</f>
        <v>#REF!</v>
      </c>
      <c r="C249" s="7">
        <f>100*(LN(Monthly!H249)-LN(Monthly!H248))</f>
        <v>0.4716447047609762</v>
      </c>
      <c r="D249" s="7">
        <v>10.973049953747299</v>
      </c>
      <c r="E249" s="7" t="e">
        <f>100*(Monthly!#REF!-Monthly!#REF!)</f>
        <v>#REF!</v>
      </c>
      <c r="F249" s="7" t="e">
        <f>100*(Monthly!#REF!-Monthly!#REF!)</f>
        <v>#REF!</v>
      </c>
      <c r="G249" s="7">
        <v>1</v>
      </c>
    </row>
    <row r="250" spans="1:7" x14ac:dyDescent="0.3">
      <c r="A250" s="4">
        <v>30195</v>
      </c>
      <c r="B250" s="5" t="e">
        <f>Monthly!E250-Monthly!#REF!</f>
        <v>#REF!</v>
      </c>
      <c r="C250" s="7">
        <f>100*(LN(Monthly!H250)-LN(Monthly!H249))</f>
        <v>1.3333225367400559</v>
      </c>
      <c r="D250" s="7">
        <v>0.75855490770329403</v>
      </c>
      <c r="E250" s="7" t="e">
        <f>100*(Monthly!#REF!-Monthly!#REF!)</f>
        <v>#REF!</v>
      </c>
      <c r="F250" s="7" t="e">
        <f>100*(Monthly!#REF!-Monthly!#REF!)</f>
        <v>#REF!</v>
      </c>
      <c r="G250" s="7">
        <v>0</v>
      </c>
    </row>
    <row r="251" spans="1:7" x14ac:dyDescent="0.3">
      <c r="A251" s="4">
        <v>30225</v>
      </c>
      <c r="B251" s="5" t="e">
        <f>Monthly!E251-Monthly!#REF!</f>
        <v>#REF!</v>
      </c>
      <c r="C251" s="7">
        <f>100*(LN(Monthly!H251)-LN(Monthly!H250))</f>
        <v>0.34545549705686796</v>
      </c>
      <c r="D251" s="7">
        <v>10.476245384996499</v>
      </c>
      <c r="E251" s="7" t="e">
        <f>100*(Monthly!#REF!-Monthly!#REF!)</f>
        <v>#REF!</v>
      </c>
      <c r="F251" s="7" t="e">
        <f>100*(Monthly!#REF!-Monthly!#REF!)</f>
        <v>#REF!</v>
      </c>
      <c r="G251" s="7">
        <v>1</v>
      </c>
    </row>
    <row r="252" spans="1:7" x14ac:dyDescent="0.3">
      <c r="A252" s="4">
        <v>30256</v>
      </c>
      <c r="B252" s="5" t="e">
        <f>Monthly!E252-Monthly!#REF!</f>
        <v>#REF!</v>
      </c>
      <c r="C252" s="7">
        <f>100*(LN(Monthly!H252)-LN(Monthly!H251))</f>
        <v>-0.10622582168808847</v>
      </c>
      <c r="D252" s="7">
        <v>3.53388291772576</v>
      </c>
      <c r="E252" s="7" t="e">
        <f>100*(Monthly!#REF!-Monthly!#REF!)</f>
        <v>#REF!</v>
      </c>
      <c r="F252" s="7" t="e">
        <f>100*(Monthly!#REF!-Monthly!#REF!)</f>
        <v>#REF!</v>
      </c>
      <c r="G252" s="7">
        <v>1</v>
      </c>
    </row>
    <row r="253" spans="1:7" x14ac:dyDescent="0.3">
      <c r="A253" s="4">
        <v>30286</v>
      </c>
      <c r="B253" s="5" t="e">
        <f>Monthly!E253-Monthly!#REF!</f>
        <v>#REF!</v>
      </c>
      <c r="C253" s="7">
        <f>100*(LN(Monthly!H253)-LN(Monthly!H252))</f>
        <v>1.7040446868321624E-2</v>
      </c>
      <c r="D253" s="7">
        <v>1.51165297390965</v>
      </c>
      <c r="E253" s="7" t="e">
        <f>100*(Monthly!#REF!-Monthly!#REF!)</f>
        <v>#REF!</v>
      </c>
      <c r="F253" s="7" t="e">
        <f>100*(Monthly!#REF!-Monthly!#REF!)</f>
        <v>#REF!</v>
      </c>
      <c r="G253" s="7">
        <v>1</v>
      </c>
    </row>
    <row r="254" spans="1:7" x14ac:dyDescent="0.3">
      <c r="A254" s="4">
        <v>30317</v>
      </c>
      <c r="B254" s="5" t="e">
        <f>Monthly!E254-Monthly!#REF!</f>
        <v>#REF!</v>
      </c>
      <c r="C254" s="7">
        <f>100*(LN(Monthly!H254)-LN(Monthly!H253))</f>
        <v>0.29150778454267723</v>
      </c>
      <c r="D254" s="7">
        <v>3.2597161982335798</v>
      </c>
      <c r="E254" s="7" t="e">
        <f>100*(Monthly!#REF!-Monthly!#REF!)</f>
        <v>#REF!</v>
      </c>
      <c r="F254" s="7" t="e">
        <f>100*(Monthly!#REF!-Monthly!#REF!)</f>
        <v>#REF!</v>
      </c>
      <c r="G254" s="7">
        <v>1</v>
      </c>
    </row>
    <row r="255" spans="1:7" x14ac:dyDescent="0.3">
      <c r="A255" s="4">
        <v>30348</v>
      </c>
      <c r="B255" s="5" t="e">
        <f>Monthly!E255-Monthly!#REF!</f>
        <v>#REF!</v>
      </c>
      <c r="C255" s="7">
        <f>100*(LN(Monthly!H255)-LN(Monthly!H254))</f>
        <v>4.3023767989502915E-2</v>
      </c>
      <c r="D255" s="7">
        <v>1.88169889462609</v>
      </c>
      <c r="E255" s="7" t="e">
        <f>100*(Monthly!#REF!-Monthly!#REF!)</f>
        <v>#REF!</v>
      </c>
      <c r="F255" s="7" t="e">
        <f>100*(Monthly!#REF!-Monthly!#REF!)</f>
        <v>#REF!</v>
      </c>
      <c r="G255" s="7">
        <v>0</v>
      </c>
    </row>
    <row r="256" spans="1:7" x14ac:dyDescent="0.3">
      <c r="A256" s="4">
        <v>30376</v>
      </c>
      <c r="B256" s="5" t="e">
        <f>Monthly!E256-Monthly!#REF!</f>
        <v>#REF!</v>
      </c>
      <c r="C256" s="7">
        <f>100*(LN(Monthly!H256)-LN(Monthly!H255))</f>
        <v>0.11413177003332109</v>
      </c>
      <c r="D256" s="7">
        <v>3.2558912670401501</v>
      </c>
      <c r="E256" s="7" t="e">
        <f>100*(Monthly!#REF!-Monthly!#REF!)</f>
        <v>#REF!</v>
      </c>
      <c r="F256" s="7" t="e">
        <f>100*(Monthly!#REF!-Monthly!#REF!)</f>
        <v>#REF!</v>
      </c>
      <c r="G256" s="7">
        <v>0</v>
      </c>
    </row>
    <row r="257" spans="1:7" x14ac:dyDescent="0.3">
      <c r="A257" s="4">
        <v>30407</v>
      </c>
      <c r="B257" s="5" t="e">
        <f>Monthly!E257-Monthly!#REF!</f>
        <v>#REF!</v>
      </c>
      <c r="C257" s="7">
        <f>100*(LN(Monthly!H257)-LN(Monthly!H256))</f>
        <v>-0.35076254686243757</v>
      </c>
      <c r="D257" s="7">
        <v>7.2308409987002698</v>
      </c>
      <c r="E257" s="7" t="e">
        <f>100*(Monthly!#REF!-Monthly!#REF!)</f>
        <v>#REF!</v>
      </c>
      <c r="F257" s="7" t="e">
        <f>100*(Monthly!#REF!-Monthly!#REF!)</f>
        <v>#REF!</v>
      </c>
      <c r="G257" s="7">
        <v>0</v>
      </c>
    </row>
    <row r="258" spans="1:7" x14ac:dyDescent="0.3">
      <c r="A258" s="4">
        <v>30437</v>
      </c>
      <c r="B258" s="5" t="e">
        <f>Monthly!E258-Monthly!#REF!</f>
        <v>#REF!</v>
      </c>
      <c r="C258" s="7">
        <f>100*(LN(Monthly!H258)-LN(Monthly!H257))</f>
        <v>-0.23862246650123708</v>
      </c>
      <c r="D258" s="7">
        <v>-1.2484057464610701</v>
      </c>
      <c r="E258" s="7" t="e">
        <f>100*(Monthly!#REF!-Monthly!#REF!)</f>
        <v>#REF!</v>
      </c>
      <c r="F258" s="7" t="e">
        <f>100*(Monthly!#REF!-Monthly!#REF!)</f>
        <v>#REF!</v>
      </c>
      <c r="G258" s="7">
        <v>0</v>
      </c>
    </row>
    <row r="259" spans="1:7" x14ac:dyDescent="0.3">
      <c r="A259" s="4">
        <v>30468</v>
      </c>
      <c r="B259" s="5" t="e">
        <f>Monthly!E259-Monthly!#REF!</f>
        <v>#REF!</v>
      </c>
      <c r="C259" s="7">
        <f>100*(LN(Monthly!H259)-LN(Monthly!H258))</f>
        <v>0.59819609725586531</v>
      </c>
      <c r="D259" s="7">
        <v>3.1817973697581499</v>
      </c>
      <c r="E259" s="7" t="e">
        <f>100*(Monthly!#REF!-Monthly!#REF!)</f>
        <v>#REF!</v>
      </c>
      <c r="F259" s="7" t="e">
        <f>100*(Monthly!#REF!-Monthly!#REF!)</f>
        <v>#REF!</v>
      </c>
      <c r="G259" s="7">
        <v>0</v>
      </c>
    </row>
    <row r="260" spans="1:7" x14ac:dyDescent="0.3">
      <c r="A260" s="4">
        <v>30498</v>
      </c>
      <c r="B260" s="5" t="e">
        <f>Monthly!E260-Monthly!#REF!</f>
        <v>#REF!</v>
      </c>
      <c r="C260" s="7">
        <f>100*(LN(Monthly!H260)-LN(Monthly!H259))</f>
        <v>0.99920743830006487</v>
      </c>
      <c r="D260" s="7">
        <v>-3.0771670044400099</v>
      </c>
      <c r="E260" s="7" t="e">
        <f>100*(Monthly!#REF!-Monthly!#REF!)</f>
        <v>#REF!</v>
      </c>
      <c r="F260" s="7" t="e">
        <f>100*(Monthly!#REF!-Monthly!#REF!)</f>
        <v>#REF!</v>
      </c>
      <c r="G260" s="7">
        <v>1</v>
      </c>
    </row>
    <row r="261" spans="1:7" x14ac:dyDescent="0.3">
      <c r="A261" s="4">
        <v>30529</v>
      </c>
      <c r="B261" s="5" t="e">
        <f>Monthly!E261-Monthly!#REF!</f>
        <v>#REF!</v>
      </c>
      <c r="C261" s="7">
        <f>100*(LN(Monthly!H261)-LN(Monthly!H260))</f>
        <v>0.94876610059264621</v>
      </c>
      <c r="D261" s="7">
        <v>1.12552961244475</v>
      </c>
      <c r="E261" s="7" t="e">
        <f>100*(Monthly!#REF!-Monthly!#REF!)</f>
        <v>#REF!</v>
      </c>
      <c r="F261" s="7" t="e">
        <f>100*(Monthly!#REF!-Monthly!#REF!)</f>
        <v>#REF!</v>
      </c>
      <c r="G261" s="7">
        <v>0</v>
      </c>
    </row>
    <row r="262" spans="1:7" x14ac:dyDescent="0.3">
      <c r="A262" s="4">
        <v>30560</v>
      </c>
      <c r="B262" s="5" t="e">
        <f>Monthly!E262-Monthly!#REF!</f>
        <v>#REF!</v>
      </c>
      <c r="C262" s="7">
        <f>100*(LN(Monthly!H262)-LN(Monthly!H261))</f>
        <v>0.23439426656253204</v>
      </c>
      <c r="D262" s="7">
        <v>1.0106984825791201</v>
      </c>
      <c r="E262" s="7" t="e">
        <f>100*(Monthly!#REF!-Monthly!#REF!)</f>
        <v>#REF!</v>
      </c>
      <c r="F262" s="7" t="e">
        <f>100*(Monthly!#REF!-Monthly!#REF!)</f>
        <v>#REF!</v>
      </c>
      <c r="G262" s="7">
        <v>0</v>
      </c>
    </row>
    <row r="263" spans="1:7" x14ac:dyDescent="0.3">
      <c r="A263" s="4">
        <v>30590</v>
      </c>
      <c r="B263" s="5" t="e">
        <f>Monthly!E263-Monthly!#REF!</f>
        <v>#REF!</v>
      </c>
      <c r="C263" s="7">
        <f>100*(LN(Monthly!H263)-LN(Monthly!H262))</f>
        <v>0.79666120356503001</v>
      </c>
      <c r="D263" s="7">
        <v>-1.52906576779908</v>
      </c>
      <c r="E263" s="7" t="e">
        <f>100*(Monthly!#REF!-Monthly!#REF!)</f>
        <v>#REF!</v>
      </c>
      <c r="F263" s="7" t="e">
        <f>100*(Monthly!#REF!-Monthly!#REF!)</f>
        <v>#REF!</v>
      </c>
      <c r="G263" s="7">
        <v>0</v>
      </c>
    </row>
    <row r="264" spans="1:7" x14ac:dyDescent="0.3">
      <c r="A264" s="4">
        <v>30621</v>
      </c>
      <c r="B264" s="5" t="e">
        <f>Monthly!E264-Monthly!#REF!</f>
        <v>#REF!</v>
      </c>
      <c r="C264" s="7">
        <f>100*(LN(Monthly!H264)-LN(Monthly!H263))</f>
        <v>0.94897973035230621</v>
      </c>
      <c r="D264" s="7">
        <v>1.72757190634542</v>
      </c>
      <c r="E264" s="7" t="e">
        <f>100*(Monthly!#REF!-Monthly!#REF!)</f>
        <v>#REF!</v>
      </c>
      <c r="F264" s="7" t="e">
        <f>100*(Monthly!#REF!-Monthly!#REF!)</f>
        <v>#REF!</v>
      </c>
      <c r="G264" s="7">
        <v>0</v>
      </c>
    </row>
    <row r="265" spans="1:7" x14ac:dyDescent="0.3">
      <c r="A265" s="4">
        <v>30651</v>
      </c>
      <c r="B265" s="5" t="e">
        <f>Monthly!E265-Monthly!#REF!</f>
        <v>#REF!</v>
      </c>
      <c r="C265" s="7">
        <f>100*(LN(Monthly!H265)-LN(Monthly!H264))</f>
        <v>1.0498448817449102</v>
      </c>
      <c r="D265" s="7">
        <v>-0.88733946553105403</v>
      </c>
      <c r="E265" s="7" t="e">
        <f>100*(Monthly!#REF!-Monthly!#REF!)</f>
        <v>#REF!</v>
      </c>
      <c r="F265" s="7" t="e">
        <f>100*(Monthly!#REF!-Monthly!#REF!)</f>
        <v>#REF!</v>
      </c>
      <c r="G265" s="7">
        <v>0</v>
      </c>
    </row>
    <row r="266" spans="1:7" x14ac:dyDescent="0.3">
      <c r="A266" s="4">
        <v>30682</v>
      </c>
      <c r="B266" s="5" t="e">
        <f>Monthly!E266-Monthly!#REF!</f>
        <v>#REF!</v>
      </c>
      <c r="C266" s="7">
        <f>100*(LN(Monthly!H266)-LN(Monthly!H265))</f>
        <v>0.40142502941860059</v>
      </c>
      <c r="D266" s="7">
        <v>-0.92586945777644203</v>
      </c>
      <c r="E266" s="7" t="e">
        <f>100*(Monthly!#REF!-Monthly!#REF!)</f>
        <v>#REF!</v>
      </c>
      <c r="F266" s="7" t="e">
        <f>100*(Monthly!#REF!-Monthly!#REF!)</f>
        <v>#REF!</v>
      </c>
      <c r="G266" s="7">
        <v>0</v>
      </c>
    </row>
    <row r="267" spans="1:7" x14ac:dyDescent="0.3">
      <c r="A267" s="4">
        <v>30713</v>
      </c>
      <c r="B267" s="5" t="e">
        <f>Monthly!E267-Monthly!#REF!</f>
        <v>#REF!</v>
      </c>
      <c r="C267" s="7">
        <f>100*(LN(Monthly!H267)-LN(Monthly!H266))</f>
        <v>1.9008034517557171</v>
      </c>
      <c r="D267" s="7">
        <v>-3.96345200719403</v>
      </c>
      <c r="E267" s="7" t="e">
        <f>100*(Monthly!#REF!-Monthly!#REF!)</f>
        <v>#REF!</v>
      </c>
      <c r="F267" s="7" t="e">
        <f>100*(Monthly!#REF!-Monthly!#REF!)</f>
        <v>#REF!</v>
      </c>
      <c r="G267" s="7">
        <v>0</v>
      </c>
    </row>
    <row r="268" spans="1:7" x14ac:dyDescent="0.3">
      <c r="A268" s="4">
        <v>30742</v>
      </c>
      <c r="B268" s="5" t="e">
        <f>Monthly!E268-Monthly!#REF!</f>
        <v>#REF!</v>
      </c>
      <c r="C268" s="7">
        <f>100*(LN(Monthly!H268)-LN(Monthly!H267))</f>
        <v>1.7239201452786901</v>
      </c>
      <c r="D268" s="7">
        <v>1.34077089632119</v>
      </c>
      <c r="E268" s="7" t="e">
        <f>100*(Monthly!#REF!-Monthly!#REF!)</f>
        <v>#REF!</v>
      </c>
      <c r="F268" s="7" t="e">
        <f>100*(Monthly!#REF!-Monthly!#REF!)</f>
        <v>#REF!</v>
      </c>
      <c r="G268" s="7">
        <v>0</v>
      </c>
    </row>
    <row r="269" spans="1:7" x14ac:dyDescent="0.3">
      <c r="A269" s="4">
        <v>30773</v>
      </c>
      <c r="B269" s="5" t="e">
        <f>Monthly!E269-Monthly!#REF!</f>
        <v>#REF!</v>
      </c>
      <c r="C269" s="7">
        <f>100*(LN(Monthly!H269)-LN(Monthly!H268))</f>
        <v>1.5864120201993792</v>
      </c>
      <c r="D269" s="7">
        <v>0.54506941178770396</v>
      </c>
      <c r="E269" s="7" t="e">
        <f>100*(Monthly!#REF!-Monthly!#REF!)</f>
        <v>#REF!</v>
      </c>
      <c r="F269" s="7" t="e">
        <f>100*(Monthly!#REF!-Monthly!#REF!)</f>
        <v>#REF!</v>
      </c>
      <c r="G269" s="7">
        <v>0</v>
      </c>
    </row>
    <row r="270" spans="1:7" x14ac:dyDescent="0.3">
      <c r="A270" s="4">
        <v>30803</v>
      </c>
      <c r="B270" s="5" t="e">
        <f>Monthly!E270-Monthly!#REF!</f>
        <v>#REF!</v>
      </c>
      <c r="C270" s="7">
        <f>100*(LN(Monthly!H270)-LN(Monthly!H269))</f>
        <v>1.9184766027937172</v>
      </c>
      <c r="D270" s="7">
        <v>-6.1191010284930796</v>
      </c>
      <c r="E270" s="7" t="e">
        <f>100*(Monthly!#REF!-Monthly!#REF!)</f>
        <v>#REF!</v>
      </c>
      <c r="F270" s="7" t="e">
        <f>100*(Monthly!#REF!-Monthly!#REF!)</f>
        <v>#REF!</v>
      </c>
      <c r="G270" s="7">
        <v>0</v>
      </c>
    </row>
    <row r="271" spans="1:7" x14ac:dyDescent="0.3">
      <c r="A271" s="4">
        <v>30834</v>
      </c>
      <c r="B271" s="5" t="e">
        <f>Monthly!E271-Monthly!#REF!</f>
        <v>#REF!</v>
      </c>
      <c r="C271" s="7">
        <f>100*(LN(Monthly!H271)-LN(Monthly!H270))</f>
        <v>1.0373543944025343</v>
      </c>
      <c r="D271" s="7">
        <v>1.7318377468519199</v>
      </c>
      <c r="E271" s="7" t="e">
        <f>100*(Monthly!#REF!-Monthly!#REF!)</f>
        <v>#REF!</v>
      </c>
      <c r="F271" s="7" t="e">
        <f>100*(Monthly!#REF!-Monthly!#REF!)</f>
        <v>#REF!</v>
      </c>
      <c r="G271" s="7">
        <v>0</v>
      </c>
    </row>
    <row r="272" spans="1:7" x14ac:dyDescent="0.3">
      <c r="A272" s="4">
        <v>30864</v>
      </c>
      <c r="B272" s="5" t="e">
        <f>Monthly!E272-Monthly!#REF!</f>
        <v>#REF!</v>
      </c>
      <c r="C272" s="7">
        <f>100*(LN(Monthly!H272)-LN(Monthly!H271))</f>
        <v>1.0650172812161962</v>
      </c>
      <c r="D272" s="7">
        <v>-1.65879859623283</v>
      </c>
      <c r="E272" s="7" t="e">
        <f>100*(Monthly!#REF!-Monthly!#REF!)</f>
        <v>#REF!</v>
      </c>
      <c r="F272" s="7" t="e">
        <f>100*(Monthly!#REF!-Monthly!#REF!)</f>
        <v>#REF!</v>
      </c>
      <c r="G272" s="7">
        <v>0</v>
      </c>
    </row>
    <row r="273" spans="1:7" x14ac:dyDescent="0.3">
      <c r="A273" s="4">
        <v>30895</v>
      </c>
      <c r="B273" s="5" t="e">
        <f>Monthly!E273-Monthly!#REF!</f>
        <v>#REF!</v>
      </c>
      <c r="C273" s="7">
        <f>100*(LN(Monthly!H273)-LN(Monthly!H272))</f>
        <v>0.65419467695724265</v>
      </c>
      <c r="D273" s="7">
        <v>10.1050095907794</v>
      </c>
      <c r="E273" s="7" t="e">
        <f>100*(Monthly!#REF!-Monthly!#REF!)</f>
        <v>#REF!</v>
      </c>
      <c r="F273" s="7" t="e">
        <f>100*(Monthly!#REF!-Monthly!#REF!)</f>
        <v>#REF!</v>
      </c>
      <c r="G273" s="7">
        <v>1</v>
      </c>
    </row>
    <row r="274" spans="1:7" x14ac:dyDescent="0.3">
      <c r="A274" s="4">
        <v>30926</v>
      </c>
      <c r="B274" s="5" t="e">
        <f>Monthly!E274-Monthly!#REF!</f>
        <v>#REF!</v>
      </c>
      <c r="C274" s="7">
        <f>100*(LN(Monthly!H274)-LN(Monthly!H273))</f>
        <v>0.67824203612305567</v>
      </c>
      <c r="D274" s="7">
        <v>-0.34857092471758599</v>
      </c>
      <c r="E274" s="7" t="e">
        <f>100*(Monthly!#REF!-Monthly!#REF!)</f>
        <v>#REF!</v>
      </c>
      <c r="F274" s="7" t="e">
        <f>100*(Monthly!#REF!-Monthly!#REF!)</f>
        <v>#REF!</v>
      </c>
      <c r="G274" s="7">
        <v>0</v>
      </c>
    </row>
    <row r="275" spans="1:7" x14ac:dyDescent="0.3">
      <c r="A275" s="4">
        <v>30956</v>
      </c>
      <c r="B275" s="5" t="e">
        <f>Monthly!E275-Monthly!#REF!</f>
        <v>#REF!</v>
      </c>
      <c r="C275" s="7">
        <f>100*(LN(Monthly!H275)-LN(Monthly!H274))</f>
        <v>0.95656160405921398</v>
      </c>
      <c r="D275" s="7">
        <v>-6.0265303317204397E-3</v>
      </c>
      <c r="E275" s="7" t="e">
        <f>100*(Monthly!#REF!-Monthly!#REF!)</f>
        <v>#REF!</v>
      </c>
      <c r="F275" s="7" t="e">
        <f>100*(Monthly!#REF!-Monthly!#REF!)</f>
        <v>#REF!</v>
      </c>
      <c r="G275" s="7">
        <v>0</v>
      </c>
    </row>
    <row r="276" spans="1:7" x14ac:dyDescent="0.3">
      <c r="A276" s="4">
        <v>30987</v>
      </c>
      <c r="B276" s="5" t="e">
        <f>Monthly!E276-Monthly!#REF!</f>
        <v>#REF!</v>
      </c>
      <c r="C276" s="7">
        <f>100*(LN(Monthly!H276)-LN(Monthly!H275))</f>
        <v>0.98309121620667739</v>
      </c>
      <c r="D276" s="7">
        <v>-1.52276095614993</v>
      </c>
      <c r="E276" s="7" t="e">
        <f>100*(Monthly!#REF!-Monthly!#REF!)</f>
        <v>#REF!</v>
      </c>
      <c r="F276" s="7" t="e">
        <f>100*(Monthly!#REF!-Monthly!#REF!)</f>
        <v>#REF!</v>
      </c>
      <c r="G276" s="7">
        <v>0</v>
      </c>
    </row>
    <row r="277" spans="1:7" x14ac:dyDescent="0.3">
      <c r="A277" s="4">
        <v>31017</v>
      </c>
      <c r="B277" s="5" t="e">
        <f>Monthly!E277-Monthly!#REF!</f>
        <v>#REF!</v>
      </c>
      <c r="C277" s="7">
        <f>100*(LN(Monthly!H277)-LN(Monthly!H276))</f>
        <v>0.5063156112714573</v>
      </c>
      <c r="D277" s="7">
        <v>2.2127760833895702</v>
      </c>
      <c r="E277" s="7" t="e">
        <f>100*(Monthly!#REF!-Monthly!#REF!)</f>
        <v>#REF!</v>
      </c>
      <c r="F277" s="7" t="e">
        <f>100*(Monthly!#REF!-Monthly!#REF!)</f>
        <v>#REF!</v>
      </c>
      <c r="G277" s="7">
        <v>0</v>
      </c>
    </row>
    <row r="278" spans="1:7" x14ac:dyDescent="0.3">
      <c r="A278" s="4">
        <v>31048</v>
      </c>
      <c r="B278" s="5" t="e">
        <f>Monthly!E278-Monthly!#REF!</f>
        <v>#REF!</v>
      </c>
      <c r="C278" s="7">
        <f>100*(LN(Monthly!H278)-LN(Monthly!H277))</f>
        <v>-7.7266168027012583E-2</v>
      </c>
      <c r="D278" s="7">
        <v>7.1469267628997502</v>
      </c>
      <c r="E278" s="7" t="e">
        <f>100*(Monthly!#REF!-Monthly!#REF!)</f>
        <v>#REF!</v>
      </c>
      <c r="F278" s="7" t="e">
        <f>100*(Monthly!#REF!-Monthly!#REF!)</f>
        <v>#REF!</v>
      </c>
      <c r="G278" s="7">
        <v>0</v>
      </c>
    </row>
    <row r="279" spans="1:7" x14ac:dyDescent="0.3">
      <c r="A279" s="4">
        <v>31079</v>
      </c>
      <c r="B279" s="5" t="e">
        <f>Monthly!E279-Monthly!#REF!</f>
        <v>#REF!</v>
      </c>
      <c r="C279" s="7">
        <f>100*(LN(Monthly!H279)-LN(Monthly!H278))</f>
        <v>0.68888835450451325</v>
      </c>
      <c r="D279" s="7">
        <v>0.859176485269041</v>
      </c>
      <c r="E279" s="7" t="e">
        <f>100*(Monthly!#REF!-Monthly!#REF!)</f>
        <v>#REF!</v>
      </c>
      <c r="F279" s="7" t="e">
        <f>100*(Monthly!#REF!-Monthly!#REF!)</f>
        <v>#REF!</v>
      </c>
      <c r="G279" s="7">
        <v>0</v>
      </c>
    </row>
    <row r="280" spans="1:7" x14ac:dyDescent="0.3">
      <c r="A280" s="4">
        <v>31107</v>
      </c>
      <c r="B280" s="5" t="e">
        <f>Monthly!E280-Monthly!#REF!</f>
        <v>#REF!</v>
      </c>
      <c r="C280" s="7">
        <f>100*(LN(Monthly!H280)-LN(Monthly!H279))</f>
        <v>0.80332601859813835</v>
      </c>
      <c r="D280" s="7">
        <v>-0.28741398236224103</v>
      </c>
      <c r="E280" s="7" t="e">
        <f>100*(Monthly!#REF!-Monthly!#REF!)</f>
        <v>#REF!</v>
      </c>
      <c r="F280" s="7" t="e">
        <f>100*(Monthly!#REF!-Monthly!#REF!)</f>
        <v>#REF!</v>
      </c>
      <c r="G280" s="7">
        <v>0</v>
      </c>
    </row>
    <row r="281" spans="1:7" x14ac:dyDescent="0.3">
      <c r="A281" s="4">
        <v>31138</v>
      </c>
      <c r="B281" s="5" t="e">
        <f>Monthly!E281-Monthly!#REF!</f>
        <v>#REF!</v>
      </c>
      <c r="C281" s="7">
        <f>100*(LN(Monthly!H281)-LN(Monthly!H280))</f>
        <v>-0.29408055691186874</v>
      </c>
      <c r="D281" s="7">
        <v>-0.460486163317532</v>
      </c>
      <c r="E281" s="7" t="e">
        <f>100*(Monthly!#REF!-Monthly!#REF!)</f>
        <v>#REF!</v>
      </c>
      <c r="F281" s="7" t="e">
        <f>100*(Monthly!#REF!-Monthly!#REF!)</f>
        <v>#REF!</v>
      </c>
      <c r="G281" s="7">
        <v>0</v>
      </c>
    </row>
    <row r="282" spans="1:7" x14ac:dyDescent="0.3">
      <c r="A282" s="4">
        <v>31168</v>
      </c>
      <c r="B282" s="5" t="e">
        <f>Monthly!E282-Monthly!#REF!</f>
        <v>#REF!</v>
      </c>
      <c r="C282" s="7">
        <f>100*(LN(Monthly!H282)-LN(Monthly!H281))</f>
        <v>0.43925805224089842</v>
      </c>
      <c r="D282" s="7">
        <v>5.2640887703110604</v>
      </c>
      <c r="E282" s="7" t="e">
        <f>100*(Monthly!#REF!-Monthly!#REF!)</f>
        <v>#REF!</v>
      </c>
      <c r="F282" s="7" t="e">
        <f>100*(Monthly!#REF!-Monthly!#REF!)</f>
        <v>#REF!</v>
      </c>
      <c r="G282" s="7">
        <v>0</v>
      </c>
    </row>
    <row r="283" spans="1:7" x14ac:dyDescent="0.3">
      <c r="A283" s="4">
        <v>31199</v>
      </c>
      <c r="B283" s="5" t="e">
        <f>Monthly!E283-Monthly!#REF!</f>
        <v>#REF!</v>
      </c>
      <c r="C283" s="7">
        <f>100*(LN(Monthly!H283)-LN(Monthly!H282))</f>
        <v>0.32375064552319088</v>
      </c>
      <c r="D283" s="7">
        <v>1.2060990444600801</v>
      </c>
      <c r="E283" s="7" t="e">
        <f>100*(Monthly!#REF!-Monthly!#REF!)</f>
        <v>#REF!</v>
      </c>
      <c r="F283" s="7" t="e">
        <f>100*(Monthly!#REF!-Monthly!#REF!)</f>
        <v>#REF!</v>
      </c>
      <c r="G283" s="7">
        <v>0</v>
      </c>
    </row>
    <row r="284" spans="1:7" x14ac:dyDescent="0.3">
      <c r="A284" s="4">
        <v>31229</v>
      </c>
      <c r="B284" s="5" t="e">
        <f>Monthly!E284-Monthly!#REF!</f>
        <v>#REF!</v>
      </c>
      <c r="C284" s="7">
        <f>100*(LN(Monthly!H284)-LN(Monthly!H283))</f>
        <v>0.94790510175988274</v>
      </c>
      <c r="D284" s="7">
        <v>-0.48593659599544198</v>
      </c>
      <c r="E284" s="7" t="e">
        <f>100*(Monthly!#REF!-Monthly!#REF!)</f>
        <v>#REF!</v>
      </c>
      <c r="F284" s="7" t="e">
        <f>100*(Monthly!#REF!-Monthly!#REF!)</f>
        <v>#REF!</v>
      </c>
      <c r="G284" s="7">
        <v>0</v>
      </c>
    </row>
    <row r="285" spans="1:7" x14ac:dyDescent="0.3">
      <c r="A285" s="4">
        <v>31260</v>
      </c>
      <c r="B285" s="5" t="e">
        <f>Monthly!E285-Monthly!#REF!</f>
        <v>#REF!</v>
      </c>
      <c r="C285" s="7">
        <f>100*(LN(Monthly!H285)-LN(Monthly!H284))</f>
        <v>0.56905440935608453</v>
      </c>
      <c r="D285" s="7">
        <v>-1.2067032303709699</v>
      </c>
      <c r="E285" s="7" t="e">
        <f>100*(Monthly!#REF!-Monthly!#REF!)</f>
        <v>#REF!</v>
      </c>
      <c r="F285" s="7" t="e">
        <f>100*(Monthly!#REF!-Monthly!#REF!)</f>
        <v>#REF!</v>
      </c>
      <c r="G285" s="7">
        <v>0</v>
      </c>
    </row>
    <row r="286" spans="1:7" x14ac:dyDescent="0.3">
      <c r="A286" s="4">
        <v>31291</v>
      </c>
      <c r="B286" s="5" t="e">
        <f>Monthly!E286-Monthly!#REF!</f>
        <v>#REF!</v>
      </c>
      <c r="C286" s="7">
        <f>100*(LN(Monthly!H286)-LN(Monthly!H285))</f>
        <v>0.91707044832203266</v>
      </c>
      <c r="D286" s="7">
        <v>-3.53412892490095</v>
      </c>
      <c r="E286" s="7" t="e">
        <f>100*(Monthly!#REF!-Monthly!#REF!)</f>
        <v>#REF!</v>
      </c>
      <c r="F286" s="7" t="e">
        <f>100*(Monthly!#REF!-Monthly!#REF!)</f>
        <v>#REF!</v>
      </c>
      <c r="G286" s="7">
        <v>0</v>
      </c>
    </row>
    <row r="287" spans="1:7" x14ac:dyDescent="0.3">
      <c r="A287" s="4">
        <v>31321</v>
      </c>
      <c r="B287" s="5" t="e">
        <f>Monthly!E287-Monthly!#REF!</f>
        <v>#REF!</v>
      </c>
      <c r="C287" s="7">
        <f>100*(LN(Monthly!H287)-LN(Monthly!H286))</f>
        <v>-0.2156139069192875</v>
      </c>
      <c r="D287" s="7">
        <v>4.1630132293133597</v>
      </c>
      <c r="E287" s="7" t="e">
        <f>100*(Monthly!#REF!-Monthly!#REF!)</f>
        <v>#REF!</v>
      </c>
      <c r="F287" s="7" t="e">
        <f>100*(Monthly!#REF!-Monthly!#REF!)</f>
        <v>#REF!</v>
      </c>
      <c r="G287" s="7">
        <v>0</v>
      </c>
    </row>
    <row r="288" spans="1:7" x14ac:dyDescent="0.3">
      <c r="A288" s="4">
        <v>31352</v>
      </c>
      <c r="B288" s="5" t="e">
        <f>Monthly!E288-Monthly!#REF!</f>
        <v>#REF!</v>
      </c>
      <c r="C288" s="7">
        <f>100*(LN(Monthly!H288)-LN(Monthly!H287))</f>
        <v>0.80653326348993915</v>
      </c>
      <c r="D288" s="7">
        <v>6.3032625281810999</v>
      </c>
      <c r="E288" s="7" t="e">
        <f>100*(Monthly!#REF!-Monthly!#REF!)</f>
        <v>#REF!</v>
      </c>
      <c r="F288" s="7" t="e">
        <f>100*(Monthly!#REF!-Monthly!#REF!)</f>
        <v>#REF!</v>
      </c>
      <c r="G288" s="7">
        <v>0</v>
      </c>
    </row>
    <row r="289" spans="1:7" x14ac:dyDescent="0.3">
      <c r="A289" s="4">
        <v>31382</v>
      </c>
      <c r="B289" s="5" t="e">
        <f>Monthly!E289-Monthly!#REF!</f>
        <v>#REF!</v>
      </c>
      <c r="C289" s="7">
        <f>100*(LN(Monthly!H289)-LN(Monthly!H288))</f>
        <v>0.36402206739980514</v>
      </c>
      <c r="D289" s="7">
        <v>4.4075343641990496</v>
      </c>
      <c r="E289" s="7" t="e">
        <f>100*(Monthly!#REF!-Monthly!#REF!)</f>
        <v>#REF!</v>
      </c>
      <c r="F289" s="7" t="e">
        <f>100*(Monthly!#REF!-Monthly!#REF!)</f>
        <v>#REF!</v>
      </c>
      <c r="G289" s="7">
        <v>0</v>
      </c>
    </row>
    <row r="290" spans="1:7" x14ac:dyDescent="0.3">
      <c r="A290" s="4">
        <v>31413</v>
      </c>
      <c r="B290" s="5" t="e">
        <f>Monthly!E290-Monthly!#REF!</f>
        <v>#REF!</v>
      </c>
      <c r="C290" s="7">
        <f>100*(LN(Monthly!H290)-LN(Monthly!H289))</f>
        <v>0.29898265987666761</v>
      </c>
      <c r="D290" s="7">
        <v>0.23637320270723799</v>
      </c>
      <c r="E290" s="7" t="e">
        <f>100*(Monthly!#REF!-Monthly!#REF!)</f>
        <v>#REF!</v>
      </c>
      <c r="F290" s="7" t="e">
        <f>100*(Monthly!#REF!-Monthly!#REF!)</f>
        <v>#REF!</v>
      </c>
      <c r="G290" s="7">
        <v>0</v>
      </c>
    </row>
    <row r="291" spans="1:7" x14ac:dyDescent="0.3">
      <c r="A291" s="4">
        <v>31444</v>
      </c>
      <c r="B291" s="5" t="e">
        <f>Monthly!E291-Monthly!#REF!</f>
        <v>#REF!</v>
      </c>
      <c r="C291" s="7">
        <f>100*(LN(Monthly!H291)-LN(Monthly!H290))</f>
        <v>0.19023788260161822</v>
      </c>
      <c r="D291" s="7">
        <v>6.9049530150909098</v>
      </c>
      <c r="E291" s="7" t="e">
        <f>100*(Monthly!#REF!-Monthly!#REF!)</f>
        <v>#REF!</v>
      </c>
      <c r="F291" s="7" t="e">
        <f>100*(Monthly!#REF!-Monthly!#REF!)</f>
        <v>#REF!</v>
      </c>
      <c r="G291" s="7">
        <v>0</v>
      </c>
    </row>
    <row r="292" spans="1:7" x14ac:dyDescent="0.3">
      <c r="A292" s="4">
        <v>31472</v>
      </c>
      <c r="B292" s="5" t="e">
        <f>Monthly!E292-Monthly!#REF!</f>
        <v>#REF!</v>
      </c>
      <c r="C292" s="7">
        <f>100*(LN(Monthly!H292)-LN(Monthly!H291))</f>
        <v>0.75311731127172266</v>
      </c>
      <c r="D292" s="7">
        <v>5.1447504394149002</v>
      </c>
      <c r="E292" s="7" t="e">
        <f>100*(Monthly!#REF!-Monthly!#REF!)</f>
        <v>#REF!</v>
      </c>
      <c r="F292" s="7" t="e">
        <f>100*(Monthly!#REF!-Monthly!#REF!)</f>
        <v>#REF!</v>
      </c>
      <c r="G292" s="7">
        <v>0</v>
      </c>
    </row>
    <row r="293" spans="1:7" x14ac:dyDescent="0.3">
      <c r="A293" s="4">
        <v>31503</v>
      </c>
      <c r="B293" s="5" t="e">
        <f>Monthly!E293-Monthly!#REF!</f>
        <v>#REF!</v>
      </c>
      <c r="C293" s="7">
        <f>100*(LN(Monthly!H293)-LN(Monthly!H292))</f>
        <v>0.41815073445787831</v>
      </c>
      <c r="D293" s="7">
        <v>-1.4249175102296201</v>
      </c>
      <c r="E293" s="7" t="e">
        <f>100*(Monthly!#REF!-Monthly!#REF!)</f>
        <v>#REF!</v>
      </c>
      <c r="F293" s="7" t="e">
        <f>100*(Monthly!#REF!-Monthly!#REF!)</f>
        <v>#REF!</v>
      </c>
      <c r="G293" s="7">
        <v>1</v>
      </c>
    </row>
    <row r="294" spans="1:7" x14ac:dyDescent="0.3">
      <c r="A294" s="4">
        <v>31533</v>
      </c>
      <c r="B294" s="5" t="e">
        <f>Monthly!E294-Monthly!#REF!</f>
        <v>#REF!</v>
      </c>
      <c r="C294" s="7">
        <f>100*(LN(Monthly!H294)-LN(Monthly!H293))</f>
        <v>0.12083303367385057</v>
      </c>
      <c r="D294" s="7">
        <v>4.9008508668286002</v>
      </c>
      <c r="E294" s="7" t="e">
        <f>100*(Monthly!#REF!-Monthly!#REF!)</f>
        <v>#REF!</v>
      </c>
      <c r="F294" s="7" t="e">
        <f>100*(Monthly!#REF!-Monthly!#REF!)</f>
        <v>#REF!</v>
      </c>
      <c r="G294" s="7">
        <v>0</v>
      </c>
    </row>
    <row r="295" spans="1:7" x14ac:dyDescent="0.3">
      <c r="A295" s="4">
        <v>31564</v>
      </c>
      <c r="B295" s="5" t="e">
        <f>Monthly!E295-Monthly!#REF!</f>
        <v>#REF!</v>
      </c>
      <c r="C295" s="7">
        <f>100*(LN(Monthly!H295)-LN(Monthly!H294))</f>
        <v>0.65384828326644495</v>
      </c>
      <c r="D295" s="7">
        <v>1.4010908726094999</v>
      </c>
      <c r="E295" s="7" t="e">
        <f>100*(Monthly!#REF!-Monthly!#REF!)</f>
        <v>#REF!</v>
      </c>
      <c r="F295" s="7" t="e">
        <f>100*(Monthly!#REF!-Monthly!#REF!)</f>
        <v>#REF!</v>
      </c>
      <c r="G295" s="7">
        <v>0</v>
      </c>
    </row>
    <row r="296" spans="1:7" x14ac:dyDescent="0.3">
      <c r="A296" s="4">
        <v>31594</v>
      </c>
      <c r="B296" s="5" t="e">
        <f>Monthly!E296-Monthly!#REF!</f>
        <v>#REF!</v>
      </c>
      <c r="C296" s="7">
        <f>100*(LN(Monthly!H296)-LN(Monthly!H295))</f>
        <v>0.31346439274138049</v>
      </c>
      <c r="D296" s="7">
        <v>-6.0475141382316497</v>
      </c>
      <c r="E296" s="7" t="e">
        <f>100*(Monthly!#REF!-Monthly!#REF!)</f>
        <v>#REF!</v>
      </c>
      <c r="F296" s="7" t="e">
        <f>100*(Monthly!#REF!-Monthly!#REF!)</f>
        <v>#REF!</v>
      </c>
      <c r="G296" s="7">
        <v>1</v>
      </c>
    </row>
    <row r="297" spans="1:7" x14ac:dyDescent="0.3">
      <c r="A297" s="4">
        <v>31625</v>
      </c>
      <c r="B297" s="5" t="e">
        <f>Monthly!E297-Monthly!#REF!</f>
        <v>#REF!</v>
      </c>
      <c r="C297" s="7">
        <f>100*(LN(Monthly!H297)-LN(Monthly!H296))</f>
        <v>0.39777538259055945</v>
      </c>
      <c r="D297" s="7">
        <v>6.8772611952080398</v>
      </c>
      <c r="E297" s="7" t="e">
        <f>100*(Monthly!#REF!-Monthly!#REF!)</f>
        <v>#REF!</v>
      </c>
      <c r="F297" s="7" t="e">
        <f>100*(Monthly!#REF!-Monthly!#REF!)</f>
        <v>#REF!</v>
      </c>
      <c r="G297" s="7">
        <v>0</v>
      </c>
    </row>
    <row r="298" spans="1:7" x14ac:dyDescent="0.3">
      <c r="A298" s="4">
        <v>31656</v>
      </c>
      <c r="B298" s="5" t="e">
        <f>Monthly!E298-Monthly!#REF!</f>
        <v>#REF!</v>
      </c>
      <c r="C298" s="7">
        <f>100*(LN(Monthly!H298)-LN(Monthly!H297))</f>
        <v>0.50515880479231612</v>
      </c>
      <c r="D298" s="7">
        <v>-8.9310676692470494</v>
      </c>
      <c r="E298" s="7" t="e">
        <f>100*(Monthly!#REF!-Monthly!#REF!)</f>
        <v>#REF!</v>
      </c>
      <c r="F298" s="7" t="e">
        <f>100*(Monthly!#REF!-Monthly!#REF!)</f>
        <v>#REF!</v>
      </c>
      <c r="G298" s="7">
        <v>1</v>
      </c>
    </row>
    <row r="299" spans="1:7" x14ac:dyDescent="0.3">
      <c r="A299" s="4">
        <v>31686</v>
      </c>
      <c r="B299" s="5" t="e">
        <f>Monthly!E299-Monthly!#REF!</f>
        <v>#REF!</v>
      </c>
      <c r="C299" s="7">
        <f>100*(LN(Monthly!H299)-LN(Monthly!H298))</f>
        <v>-2.0674996114244948E-3</v>
      </c>
      <c r="D299" s="7">
        <v>5.3284172256340296</v>
      </c>
      <c r="E299" s="7" t="e">
        <f>100*(Monthly!#REF!-Monthly!#REF!)</f>
        <v>#REF!</v>
      </c>
      <c r="F299" s="7" t="e">
        <f>100*(Monthly!#REF!-Monthly!#REF!)</f>
        <v>#REF!</v>
      </c>
      <c r="G299" s="7">
        <v>0</v>
      </c>
    </row>
    <row r="300" spans="1:7" x14ac:dyDescent="0.3">
      <c r="A300" s="4">
        <v>31717</v>
      </c>
      <c r="B300" s="5" t="e">
        <f>Monthly!E300-Monthly!#REF!</f>
        <v>#REF!</v>
      </c>
      <c r="C300" s="7">
        <f>100*(LN(Monthly!H300)-LN(Monthly!H299))</f>
        <v>1.232136928505323</v>
      </c>
      <c r="D300" s="7">
        <v>2.1249808203745899</v>
      </c>
      <c r="E300" s="7" t="e">
        <f>100*(Monthly!#REF!-Monthly!#REF!)</f>
        <v>#REF!</v>
      </c>
      <c r="F300" s="7" t="e">
        <f>100*(Monthly!#REF!-Monthly!#REF!)</f>
        <v>#REF!</v>
      </c>
      <c r="G300" s="7">
        <v>0</v>
      </c>
    </row>
    <row r="301" spans="1:7" x14ac:dyDescent="0.3">
      <c r="A301" s="4">
        <v>31747</v>
      </c>
      <c r="B301" s="5" t="e">
        <f>Monthly!E301-Monthly!#REF!</f>
        <v>#REF!</v>
      </c>
      <c r="C301" s="7">
        <f>100*(LN(Monthly!H301)-LN(Monthly!H300))</f>
        <v>2.8902949572398029</v>
      </c>
      <c r="D301" s="7">
        <v>-2.8696094101435898</v>
      </c>
      <c r="E301" s="7" t="e">
        <f>100*(Monthly!#REF!-Monthly!#REF!)</f>
        <v>#REF!</v>
      </c>
      <c r="F301" s="7" t="e">
        <f>100*(Monthly!#REF!-Monthly!#REF!)</f>
        <v>#REF!</v>
      </c>
      <c r="G301" s="7">
        <v>0</v>
      </c>
    </row>
    <row r="302" spans="1:7" x14ac:dyDescent="0.3">
      <c r="A302" s="4">
        <v>31778</v>
      </c>
      <c r="B302" s="5" t="e">
        <f>Monthly!E302-Monthly!#REF!</f>
        <v>#REF!</v>
      </c>
      <c r="C302" s="7">
        <f>100*(LN(Monthly!H302)-LN(Monthly!H301))</f>
        <v>1.7594986780511412</v>
      </c>
      <c r="D302" s="7">
        <v>12.3780034272402</v>
      </c>
      <c r="E302" s="7" t="e">
        <f>100*(Monthly!#REF!-Monthly!#REF!)</f>
        <v>#REF!</v>
      </c>
      <c r="F302" s="7" t="e">
        <f>100*(Monthly!#REF!-Monthly!#REF!)</f>
        <v>#REF!</v>
      </c>
      <c r="G302" s="7">
        <v>0</v>
      </c>
    </row>
    <row r="303" spans="1:7" x14ac:dyDescent="0.3">
      <c r="A303" s="4">
        <v>31809</v>
      </c>
      <c r="B303" s="5" t="e">
        <f>Monthly!E303-Monthly!#REF!</f>
        <v>#REF!</v>
      </c>
      <c r="C303" s="7">
        <f>100*(LN(Monthly!H303)-LN(Monthly!H302))</f>
        <v>-0.27427817169058955</v>
      </c>
      <c r="D303" s="7">
        <v>3.6258273031472599</v>
      </c>
      <c r="E303" s="7" t="e">
        <f>100*(Monthly!#REF!-Monthly!#REF!)</f>
        <v>#REF!</v>
      </c>
      <c r="F303" s="7" t="e">
        <f>100*(Monthly!#REF!-Monthly!#REF!)</f>
        <v>#REF!</v>
      </c>
      <c r="G303" s="7">
        <v>0</v>
      </c>
    </row>
    <row r="304" spans="1:7" x14ac:dyDescent="0.3">
      <c r="A304" s="4">
        <v>31837</v>
      </c>
      <c r="B304" s="5" t="e">
        <f>Monthly!E304-Monthly!#REF!</f>
        <v>#REF!</v>
      </c>
      <c r="C304" s="7">
        <f>100*(LN(Monthly!H304)-LN(Monthly!H303))</f>
        <v>0.14887201866766731</v>
      </c>
      <c r="D304" s="7">
        <v>2.6047660106314998</v>
      </c>
      <c r="E304" s="7" t="e">
        <f>100*(Monthly!#REF!-Monthly!#REF!)</f>
        <v>#REF!</v>
      </c>
      <c r="F304" s="7" t="e">
        <f>100*(Monthly!#REF!-Monthly!#REF!)</f>
        <v>#REF!</v>
      </c>
      <c r="G304" s="7">
        <v>0</v>
      </c>
    </row>
    <row r="305" spans="1:7" x14ac:dyDescent="0.3">
      <c r="A305" s="4">
        <v>31868</v>
      </c>
      <c r="B305" s="5" t="e">
        <f>Monthly!E305-Monthly!#REF!</f>
        <v>#REF!</v>
      </c>
      <c r="C305" s="7">
        <f>100*(LN(Monthly!H305)-LN(Monthly!H304))</f>
        <v>0.21536685500693764</v>
      </c>
      <c r="D305" s="7">
        <v>-1.15162699843255</v>
      </c>
      <c r="E305" s="7" t="e">
        <f>100*(Monthly!#REF!-Monthly!#REF!)</f>
        <v>#REF!</v>
      </c>
      <c r="F305" s="7" t="e">
        <f>100*(Monthly!#REF!-Monthly!#REF!)</f>
        <v>#REF!</v>
      </c>
      <c r="G305" s="7">
        <v>1</v>
      </c>
    </row>
    <row r="306" spans="1:7" x14ac:dyDescent="0.3">
      <c r="A306" s="4">
        <v>31898</v>
      </c>
      <c r="B306" s="5" t="e">
        <f>Monthly!E306-Monthly!#REF!</f>
        <v>#REF!</v>
      </c>
      <c r="C306" s="7">
        <f>100*(LN(Monthly!H306)-LN(Monthly!H305))</f>
        <v>0.40126841338556929</v>
      </c>
      <c r="D306" s="7">
        <v>0.60160634294635795</v>
      </c>
      <c r="E306" s="7" t="e">
        <f>100*(Monthly!#REF!-Monthly!#REF!)</f>
        <v>#REF!</v>
      </c>
      <c r="F306" s="7" t="e">
        <f>100*(Monthly!#REF!-Monthly!#REF!)</f>
        <v>#REF!</v>
      </c>
      <c r="G306" s="7">
        <v>1</v>
      </c>
    </row>
    <row r="307" spans="1:7" x14ac:dyDescent="0.3">
      <c r="A307" s="4">
        <v>31929</v>
      </c>
      <c r="B307" s="5" t="e">
        <f>Monthly!E307-Monthly!#REF!</f>
        <v>#REF!</v>
      </c>
      <c r="C307" s="7">
        <f>100*(LN(Monthly!H307)-LN(Monthly!H306))</f>
        <v>0.53649931728321221</v>
      </c>
      <c r="D307" s="7">
        <v>4.6801989239513002</v>
      </c>
      <c r="E307" s="7" t="e">
        <f>100*(Monthly!#REF!-Monthly!#REF!)</f>
        <v>#REF!</v>
      </c>
      <c r="F307" s="7" t="e">
        <f>100*(Monthly!#REF!-Monthly!#REF!)</f>
        <v>#REF!</v>
      </c>
      <c r="G307" s="7">
        <v>0</v>
      </c>
    </row>
    <row r="308" spans="1:7" x14ac:dyDescent="0.3">
      <c r="A308" s="4">
        <v>31959</v>
      </c>
      <c r="B308" s="5" t="e">
        <f>Monthly!E308-Monthly!#REF!</f>
        <v>#REF!</v>
      </c>
      <c r="C308" s="7">
        <f>100*(LN(Monthly!H308)-LN(Monthly!H307))</f>
        <v>-0.22772206097707581</v>
      </c>
      <c r="D308" s="7">
        <v>4.7097013748356398</v>
      </c>
      <c r="E308" s="7" t="e">
        <f>100*(Monthly!#REF!-Monthly!#REF!)</f>
        <v>#REF!</v>
      </c>
      <c r="F308" s="7" t="e">
        <f>100*(Monthly!#REF!-Monthly!#REF!)</f>
        <v>#REF!</v>
      </c>
      <c r="G308" s="7">
        <v>0</v>
      </c>
    </row>
    <row r="309" spans="1:7" x14ac:dyDescent="0.3">
      <c r="A309" s="4">
        <v>31990</v>
      </c>
      <c r="B309" s="5" t="e">
        <f>Monthly!E309-Monthly!#REF!</f>
        <v>#REF!</v>
      </c>
      <c r="C309" s="7">
        <f>100*(LN(Monthly!H309)-LN(Monthly!H308))</f>
        <v>0.1200456700588326</v>
      </c>
      <c r="D309" s="7">
        <v>3.43616579574834</v>
      </c>
      <c r="E309" s="7" t="e">
        <f>100*(Monthly!#REF!-Monthly!#REF!)</f>
        <v>#REF!</v>
      </c>
      <c r="F309" s="7" t="e">
        <f>100*(Monthly!#REF!-Monthly!#REF!)</f>
        <v>#REF!</v>
      </c>
      <c r="G309" s="7">
        <v>0</v>
      </c>
    </row>
    <row r="310" spans="1:7" x14ac:dyDescent="0.3">
      <c r="A310" s="4">
        <v>32021</v>
      </c>
      <c r="B310" s="5" t="e">
        <f>Monthly!E310-Monthly!#REF!</f>
        <v>#REF!</v>
      </c>
      <c r="C310" s="7">
        <f>100*(LN(Monthly!H310)-LN(Monthly!H309))</f>
        <v>1.2918515178047763</v>
      </c>
      <c r="D310" s="7">
        <v>-2.4462959016116099</v>
      </c>
      <c r="E310" s="7" t="e">
        <f>100*(Monthly!#REF!-Monthly!#REF!)</f>
        <v>#REF!</v>
      </c>
      <c r="F310" s="7" t="e">
        <f>100*(Monthly!#REF!-Monthly!#REF!)</f>
        <v>#REF!</v>
      </c>
      <c r="G310" s="7">
        <v>1</v>
      </c>
    </row>
    <row r="311" spans="1:7" x14ac:dyDescent="0.3">
      <c r="A311" s="4">
        <v>32051</v>
      </c>
      <c r="B311" s="5" t="e">
        <f>Monthly!E311-Monthly!#REF!</f>
        <v>#REF!</v>
      </c>
      <c r="C311" s="7">
        <f>100*(LN(Monthly!H311)-LN(Monthly!H310))</f>
        <v>0.34089094375673312</v>
      </c>
      <c r="D311" s="7">
        <v>-24.542803399764999</v>
      </c>
      <c r="E311" s="7" t="e">
        <f>100*(Monthly!#REF!-Monthly!#REF!)</f>
        <v>#REF!</v>
      </c>
      <c r="F311" s="7" t="e">
        <f>100*(Monthly!#REF!-Monthly!#REF!)</f>
        <v>#REF!</v>
      </c>
      <c r="G311" s="7">
        <v>1</v>
      </c>
    </row>
    <row r="312" spans="1:7" x14ac:dyDescent="0.3">
      <c r="A312" s="4">
        <v>32082</v>
      </c>
      <c r="B312" s="5" t="e">
        <f>Monthly!E312-Monthly!#REF!</f>
        <v>#REF!</v>
      </c>
      <c r="C312" s="7">
        <f>100*(LN(Monthly!H312)-LN(Monthly!H311))</f>
        <v>-8.3274181262726898E-2</v>
      </c>
      <c r="D312" s="7">
        <v>-8.9212560020427407</v>
      </c>
      <c r="E312" s="7" t="e">
        <f>100*(Monthly!#REF!-Monthly!#REF!)</f>
        <v>#REF!</v>
      </c>
      <c r="F312" s="7" t="e">
        <f>100*(Monthly!#REF!-Monthly!#REF!)</f>
        <v>#REF!</v>
      </c>
      <c r="G312" s="7">
        <v>1</v>
      </c>
    </row>
    <row r="313" spans="1:7" x14ac:dyDescent="0.3">
      <c r="A313" s="4">
        <v>32112</v>
      </c>
      <c r="B313" s="5" t="e">
        <f>Monthly!E313-Monthly!#REF!</f>
        <v>#REF!</v>
      </c>
      <c r="C313" s="7">
        <f>100*(LN(Monthly!H313)-LN(Monthly!H312))</f>
        <v>0.46579506015227423</v>
      </c>
      <c r="D313" s="7">
        <v>7.0329358160607498</v>
      </c>
      <c r="E313" s="7" t="e">
        <f>100*(Monthly!#REF!-Monthly!#REF!)</f>
        <v>#REF!</v>
      </c>
      <c r="F313" s="7" t="e">
        <f>100*(Monthly!#REF!-Monthly!#REF!)</f>
        <v>#REF!</v>
      </c>
      <c r="G313" s="7">
        <v>1</v>
      </c>
    </row>
    <row r="314" spans="1:7" x14ac:dyDescent="0.3">
      <c r="A314" s="4">
        <v>32143</v>
      </c>
      <c r="B314" s="5" t="e">
        <f>Monthly!E314-Monthly!#REF!</f>
        <v>#REF!</v>
      </c>
      <c r="C314" s="7">
        <f>100*(LN(Monthly!H314)-LN(Monthly!H313))</f>
        <v>0.34406242495030881</v>
      </c>
      <c r="D314" s="7">
        <v>3.9636271601807</v>
      </c>
      <c r="E314" s="7" t="e">
        <f>100*(Monthly!#REF!-Monthly!#REF!)</f>
        <v>#REF!</v>
      </c>
      <c r="F314" s="7" t="e">
        <f>100*(Monthly!#REF!-Monthly!#REF!)</f>
        <v>#REF!</v>
      </c>
      <c r="G314" s="7">
        <v>1</v>
      </c>
    </row>
    <row r="315" spans="1:7" x14ac:dyDescent="0.3">
      <c r="A315" s="4">
        <v>32174</v>
      </c>
      <c r="B315" s="5" t="e">
        <f>Monthly!E315-Monthly!#REF!</f>
        <v>#REF!</v>
      </c>
      <c r="C315" s="7">
        <f>100*(LN(Monthly!H315)-LN(Monthly!H314))</f>
        <v>0.22827340930495765</v>
      </c>
      <c r="D315" s="7">
        <v>4.0966690574679898</v>
      </c>
      <c r="E315" s="7" t="e">
        <f>100*(Monthly!#REF!-Monthly!#REF!)</f>
        <v>#REF!</v>
      </c>
      <c r="F315" s="7" t="e">
        <f>100*(Monthly!#REF!-Monthly!#REF!)</f>
        <v>#REF!</v>
      </c>
      <c r="G315" s="7">
        <v>0</v>
      </c>
    </row>
    <row r="316" spans="1:7" x14ac:dyDescent="0.3">
      <c r="A316" s="4">
        <v>32203</v>
      </c>
      <c r="B316" s="5" t="e">
        <f>Monthly!E316-Monthly!#REF!</f>
        <v>#REF!</v>
      </c>
      <c r="C316" s="7">
        <f>100*(LN(Monthly!H316)-LN(Monthly!H315))</f>
        <v>0.48751968273563762</v>
      </c>
      <c r="D316" s="7">
        <v>-3.3911822773448401</v>
      </c>
      <c r="E316" s="7" t="e">
        <f>100*(Monthly!#REF!-Monthly!#REF!)</f>
        <v>#REF!</v>
      </c>
      <c r="F316" s="7" t="e">
        <f>100*(Monthly!#REF!-Monthly!#REF!)</f>
        <v>#REF!</v>
      </c>
      <c r="G316" s="7">
        <v>0</v>
      </c>
    </row>
    <row r="317" spans="1:7" x14ac:dyDescent="0.3">
      <c r="A317" s="4">
        <v>32234</v>
      </c>
      <c r="B317" s="5" t="e">
        <f>Monthly!E317-Monthly!#REF!</f>
        <v>#REF!</v>
      </c>
      <c r="C317" s="7">
        <f>100*(LN(Monthly!H317)-LN(Monthly!H316))</f>
        <v>1.0697158833826492</v>
      </c>
      <c r="D317" s="7">
        <v>0.93806074751034796</v>
      </c>
      <c r="E317" s="7" t="e">
        <f>100*(Monthly!#REF!-Monthly!#REF!)</f>
        <v>#REF!</v>
      </c>
      <c r="F317" s="7" t="e">
        <f>100*(Monthly!#REF!-Monthly!#REF!)</f>
        <v>#REF!</v>
      </c>
      <c r="G317" s="7">
        <v>1</v>
      </c>
    </row>
    <row r="318" spans="1:7" x14ac:dyDescent="0.3">
      <c r="A318" s="4">
        <v>32264</v>
      </c>
      <c r="B318" s="5" t="e">
        <f>Monthly!E318-Monthly!#REF!</f>
        <v>#REF!</v>
      </c>
      <c r="C318" s="7">
        <f>100*(LN(Monthly!H318)-LN(Monthly!H317))</f>
        <v>1.1143126463345254</v>
      </c>
      <c r="D318" s="7">
        <v>0.31710932429281402</v>
      </c>
      <c r="E318" s="7" t="e">
        <f>100*(Monthly!#REF!-Monthly!#REF!)</f>
        <v>#REF!</v>
      </c>
      <c r="F318" s="7" t="e">
        <f>100*(Monthly!#REF!-Monthly!#REF!)</f>
        <v>#REF!</v>
      </c>
      <c r="G318" s="7">
        <v>1</v>
      </c>
    </row>
    <row r="319" spans="1:7" x14ac:dyDescent="0.3">
      <c r="A319" s="4">
        <v>32295</v>
      </c>
      <c r="B319" s="5" t="e">
        <f>Monthly!E319-Monthly!#REF!</f>
        <v>#REF!</v>
      </c>
      <c r="C319" s="7">
        <f>100*(LN(Monthly!H319)-LN(Monthly!H318))</f>
        <v>0.87330872199498089</v>
      </c>
      <c r="D319" s="7">
        <v>4.23466035024909</v>
      </c>
      <c r="E319" s="7" t="e">
        <f>100*(Monthly!#REF!-Monthly!#REF!)</f>
        <v>#REF!</v>
      </c>
      <c r="F319" s="7" t="e">
        <f>100*(Monthly!#REF!-Monthly!#REF!)</f>
        <v>#REF!</v>
      </c>
      <c r="G319" s="7">
        <v>1</v>
      </c>
    </row>
    <row r="320" spans="1:7" x14ac:dyDescent="0.3">
      <c r="A320" s="4">
        <v>32325</v>
      </c>
      <c r="B320" s="5" t="e">
        <f>Monthly!E320-Monthly!#REF!</f>
        <v>#REF!</v>
      </c>
      <c r="C320" s="7">
        <f>100*(LN(Monthly!H320)-LN(Monthly!H319))</f>
        <v>0.81193884935322203</v>
      </c>
      <c r="D320" s="7">
        <v>-0.54260692453718895</v>
      </c>
      <c r="E320" s="7" t="e">
        <f>100*(Monthly!#REF!-Monthly!#REF!)</f>
        <v>#REF!</v>
      </c>
      <c r="F320" s="7" t="e">
        <f>100*(Monthly!#REF!-Monthly!#REF!)</f>
        <v>#REF!</v>
      </c>
      <c r="G320" s="7">
        <v>0</v>
      </c>
    </row>
    <row r="321" spans="1:7" x14ac:dyDescent="0.3">
      <c r="A321" s="4">
        <v>32356</v>
      </c>
      <c r="B321" s="5" t="e">
        <f>Monthly!E321-Monthly!#REF!</f>
        <v>#REF!</v>
      </c>
      <c r="C321" s="7">
        <f>100*(LN(Monthly!H321)-LN(Monthly!H320))</f>
        <v>0.10060768592747849</v>
      </c>
      <c r="D321" s="7">
        <v>-3.9364832210223799</v>
      </c>
      <c r="E321" s="7" t="e">
        <f>100*(Monthly!#REF!-Monthly!#REF!)</f>
        <v>#REF!</v>
      </c>
      <c r="F321" s="7" t="e">
        <f>100*(Monthly!#REF!-Monthly!#REF!)</f>
        <v>#REF!</v>
      </c>
      <c r="G321" s="7">
        <v>0</v>
      </c>
    </row>
    <row r="322" spans="1:7" x14ac:dyDescent="0.3">
      <c r="A322" s="4">
        <v>32387</v>
      </c>
      <c r="B322" s="5" t="e">
        <f>Monthly!E322-Monthly!#REF!</f>
        <v>#REF!</v>
      </c>
      <c r="C322" s="7">
        <f>100*(LN(Monthly!H322)-LN(Monthly!H321))</f>
        <v>0.15498036932957149</v>
      </c>
      <c r="D322" s="7">
        <v>3.8960422251065499</v>
      </c>
      <c r="E322" s="7" t="e">
        <f>100*(Monthly!#REF!-Monthly!#REF!)</f>
        <v>#REF!</v>
      </c>
      <c r="F322" s="7" t="e">
        <f>100*(Monthly!#REF!-Monthly!#REF!)</f>
        <v>#REF!</v>
      </c>
      <c r="G322" s="7">
        <v>0</v>
      </c>
    </row>
    <row r="323" spans="1:7" x14ac:dyDescent="0.3">
      <c r="A323" s="4">
        <v>32417</v>
      </c>
      <c r="B323" s="5" t="e">
        <f>Monthly!E323-Monthly!#REF!</f>
        <v>#REF!</v>
      </c>
      <c r="C323" s="7">
        <f>100*(LN(Monthly!H323)-LN(Monthly!H322))</f>
        <v>0.62432514271417716</v>
      </c>
      <c r="D323" s="7">
        <v>2.5633110876460301</v>
      </c>
      <c r="E323" s="7" t="e">
        <f>100*(Monthly!#REF!-Monthly!#REF!)</f>
        <v>#REF!</v>
      </c>
      <c r="F323" s="7" t="e">
        <f>100*(Monthly!#REF!-Monthly!#REF!)</f>
        <v>#REF!</v>
      </c>
      <c r="G323" s="7">
        <v>0</v>
      </c>
    </row>
    <row r="324" spans="1:7" x14ac:dyDescent="0.3">
      <c r="A324" s="4">
        <v>32448</v>
      </c>
      <c r="B324" s="5" t="e">
        <f>Monthly!E324-Monthly!#REF!</f>
        <v>#REF!</v>
      </c>
      <c r="C324" s="7">
        <f>100*(LN(Monthly!H324)-LN(Monthly!H323))</f>
        <v>0.34790236941892871</v>
      </c>
      <c r="D324" s="7">
        <v>-1.9071592887292601</v>
      </c>
      <c r="E324" s="7" t="e">
        <f>100*(Monthly!#REF!-Monthly!#REF!)</f>
        <v>#REF!</v>
      </c>
      <c r="F324" s="7" t="e">
        <f>100*(Monthly!#REF!-Monthly!#REF!)</f>
        <v>#REF!</v>
      </c>
      <c r="G324" s="7">
        <v>0</v>
      </c>
    </row>
    <row r="325" spans="1:7" x14ac:dyDescent="0.3">
      <c r="A325" s="4">
        <v>32478</v>
      </c>
      <c r="B325" s="5" t="e">
        <f>Monthly!E325-Monthly!#REF!</f>
        <v>#REF!</v>
      </c>
      <c r="C325" s="7">
        <f>100*(LN(Monthly!H325)-LN(Monthly!H324))</f>
        <v>0.61729481706143119</v>
      </c>
      <c r="D325" s="7">
        <v>1.45807556338446</v>
      </c>
      <c r="E325" s="7" t="e">
        <f>100*(Monthly!#REF!-Monthly!#REF!)</f>
        <v>#REF!</v>
      </c>
      <c r="F325" s="7" t="e">
        <f>100*(Monthly!#REF!-Monthly!#REF!)</f>
        <v>#REF!</v>
      </c>
      <c r="G325" s="7">
        <v>0</v>
      </c>
    </row>
    <row r="326" spans="1:7" x14ac:dyDescent="0.3">
      <c r="A326" s="4">
        <v>32509</v>
      </c>
      <c r="B326" s="5" t="e">
        <f>Monthly!E326-Monthly!#REF!</f>
        <v>#REF!</v>
      </c>
      <c r="C326" s="7">
        <f>100*(LN(Monthly!H326)-LN(Monthly!H325))</f>
        <v>0.24940403017819079</v>
      </c>
      <c r="D326" s="7">
        <v>6.8699967387920999</v>
      </c>
      <c r="E326" s="7" t="e">
        <f>100*(Monthly!#REF!-Monthly!#REF!)</f>
        <v>#REF!</v>
      </c>
      <c r="F326" s="7" t="e">
        <f>100*(Monthly!#REF!-Monthly!#REF!)</f>
        <v>#REF!</v>
      </c>
      <c r="G326" s="7">
        <v>0</v>
      </c>
    </row>
    <row r="327" spans="1:7" x14ac:dyDescent="0.3">
      <c r="A327" s="4">
        <v>32540</v>
      </c>
      <c r="B327" s="5" t="e">
        <f>Monthly!E327-Monthly!#REF!</f>
        <v>#REF!</v>
      </c>
      <c r="C327" s="7">
        <f>100*(LN(Monthly!H327)-LN(Monthly!H326))</f>
        <v>1.7599046836322074</v>
      </c>
      <c r="D327" s="7">
        <v>-2.9371292706620502</v>
      </c>
      <c r="E327" s="7" t="e">
        <f>100*(Monthly!#REF!-Monthly!#REF!)</f>
        <v>#REF!</v>
      </c>
      <c r="F327" s="7" t="e">
        <f>100*(Monthly!#REF!-Monthly!#REF!)</f>
        <v>#REF!</v>
      </c>
      <c r="G327" s="7">
        <v>0</v>
      </c>
    </row>
    <row r="328" spans="1:7" x14ac:dyDescent="0.3">
      <c r="A328" s="4">
        <v>32568</v>
      </c>
      <c r="B328" s="5" t="e">
        <f>Monthly!E328-Monthly!#REF!</f>
        <v>#REF!</v>
      </c>
      <c r="C328" s="7">
        <f>100*(LN(Monthly!H328)-LN(Monthly!H327))</f>
        <v>-0.12016128771685786</v>
      </c>
      <c r="D328" s="7">
        <v>2.0592473725625</v>
      </c>
      <c r="E328" s="7" t="e">
        <f>100*(Monthly!#REF!-Monthly!#REF!)</f>
        <v>#REF!</v>
      </c>
      <c r="F328" s="7" t="e">
        <f>100*(Monthly!#REF!-Monthly!#REF!)</f>
        <v>#REF!</v>
      </c>
      <c r="G328" s="7">
        <v>0</v>
      </c>
    </row>
    <row r="329" spans="1:7" x14ac:dyDescent="0.3">
      <c r="A329" s="4">
        <v>32599</v>
      </c>
      <c r="B329" s="5" t="e">
        <f>Monthly!E329-Monthly!#REF!</f>
        <v>#REF!</v>
      </c>
      <c r="C329" s="7">
        <f>100*(LN(Monthly!H329)-LN(Monthly!H328))</f>
        <v>0.45043965503390737</v>
      </c>
      <c r="D329" s="7">
        <v>4.8875814957030501</v>
      </c>
      <c r="E329" s="7" t="e">
        <f>100*(Monthly!#REF!-Monthly!#REF!)</f>
        <v>#REF!</v>
      </c>
      <c r="F329" s="7" t="e">
        <f>100*(Monthly!#REF!-Monthly!#REF!)</f>
        <v>#REF!</v>
      </c>
      <c r="G329" s="7">
        <v>0</v>
      </c>
    </row>
    <row r="330" spans="1:7" x14ac:dyDescent="0.3">
      <c r="A330" s="4">
        <v>32629</v>
      </c>
      <c r="B330" s="5" t="e">
        <f>Monthly!E330-Monthly!#REF!</f>
        <v>#REF!</v>
      </c>
      <c r="C330" s="7">
        <f>100*(LN(Monthly!H330)-LN(Monthly!H329))</f>
        <v>0.83432951168980196</v>
      </c>
      <c r="D330" s="7">
        <v>3.45342629888192</v>
      </c>
      <c r="E330" s="7" t="e">
        <f>100*(Monthly!#REF!-Monthly!#REF!)</f>
        <v>#REF!</v>
      </c>
      <c r="F330" s="7" t="e">
        <f>100*(Monthly!#REF!-Monthly!#REF!)</f>
        <v>#REF!</v>
      </c>
      <c r="G330" s="7">
        <v>0</v>
      </c>
    </row>
    <row r="331" spans="1:7" x14ac:dyDescent="0.3">
      <c r="A331" s="4">
        <v>32660</v>
      </c>
      <c r="B331" s="5" t="e">
        <f>Monthly!E331-Monthly!#REF!</f>
        <v>#REF!</v>
      </c>
      <c r="C331" s="7">
        <f>100*(LN(Monthly!H331)-LN(Monthly!H330))</f>
        <v>-2.2665989827519439E-2</v>
      </c>
      <c r="D331" s="7">
        <v>-0.79561203623562105</v>
      </c>
      <c r="E331" s="7" t="e">
        <f>100*(Monthly!#REF!-Monthly!#REF!)</f>
        <v>#REF!</v>
      </c>
      <c r="F331" s="7" t="e">
        <f>100*(Monthly!#REF!-Monthly!#REF!)</f>
        <v>#REF!</v>
      </c>
      <c r="G331" s="7">
        <v>0</v>
      </c>
    </row>
    <row r="332" spans="1:7" x14ac:dyDescent="0.3">
      <c r="A332" s="4">
        <v>32690</v>
      </c>
      <c r="B332" s="5" t="e">
        <f>Monthly!E332-Monthly!#REF!</f>
        <v>#REF!</v>
      </c>
      <c r="C332" s="7">
        <f>100*(LN(Monthly!H332)-LN(Monthly!H331))</f>
        <v>1.0600719550851956</v>
      </c>
      <c r="D332" s="7">
        <v>8.4681401134300902</v>
      </c>
      <c r="E332" s="7" t="e">
        <f>100*(Monthly!#REF!-Monthly!#REF!)</f>
        <v>#REF!</v>
      </c>
      <c r="F332" s="7" t="e">
        <f>100*(Monthly!#REF!-Monthly!#REF!)</f>
        <v>#REF!</v>
      </c>
      <c r="G332" s="7">
        <v>0</v>
      </c>
    </row>
    <row r="333" spans="1:7" x14ac:dyDescent="0.3">
      <c r="A333" s="4">
        <v>32721</v>
      </c>
      <c r="B333" s="5" t="e">
        <f>Monthly!E333-Monthly!#REF!</f>
        <v>#REF!</v>
      </c>
      <c r="C333" s="7">
        <f>100*(LN(Monthly!H333)-LN(Monthly!H332))</f>
        <v>0.67206478883408138</v>
      </c>
      <c r="D333" s="7">
        <v>1.5397564950012499</v>
      </c>
      <c r="E333" s="7" t="e">
        <f>100*(Monthly!#REF!-Monthly!#REF!)</f>
        <v>#REF!</v>
      </c>
      <c r="F333" s="7" t="e">
        <f>100*(Monthly!#REF!-Monthly!#REF!)</f>
        <v>#REF!</v>
      </c>
      <c r="G333" s="7">
        <v>0</v>
      </c>
    </row>
    <row r="334" spans="1:7" x14ac:dyDescent="0.3">
      <c r="A334" s="4">
        <v>32752</v>
      </c>
      <c r="B334" s="5" t="e">
        <f>Monthly!E334-Monthly!#REF!</f>
        <v>#REF!</v>
      </c>
      <c r="C334" s="7">
        <f>100*(LN(Monthly!H334)-LN(Monthly!H333))</f>
        <v>0.30004428449039722</v>
      </c>
      <c r="D334" s="7">
        <v>-0.65658765442765599</v>
      </c>
      <c r="E334" s="7" t="e">
        <f>100*(Monthly!#REF!-Monthly!#REF!)</f>
        <v>#REF!</v>
      </c>
      <c r="F334" s="7" t="e">
        <f>100*(Monthly!#REF!-Monthly!#REF!)</f>
        <v>#REF!</v>
      </c>
      <c r="G334" s="7">
        <v>0</v>
      </c>
    </row>
    <row r="335" spans="1:7" x14ac:dyDescent="0.3">
      <c r="A335" s="4">
        <v>32782</v>
      </c>
      <c r="B335" s="5" t="e">
        <f>Monthly!E335-Monthly!#REF!</f>
        <v>#REF!</v>
      </c>
      <c r="C335" s="7">
        <f>100*(LN(Monthly!H335)-LN(Monthly!H334))</f>
        <v>0.3644840205106803</v>
      </c>
      <c r="D335" s="7">
        <v>-2.5497773867688398</v>
      </c>
      <c r="E335" s="7" t="e">
        <f>100*(Monthly!#REF!-Monthly!#REF!)</f>
        <v>#REF!</v>
      </c>
      <c r="F335" s="7" t="e">
        <f>100*(Monthly!#REF!-Monthly!#REF!)</f>
        <v>#REF!</v>
      </c>
      <c r="G335" s="7">
        <v>1</v>
      </c>
    </row>
    <row r="336" spans="1:7" x14ac:dyDescent="0.3">
      <c r="A336" s="4">
        <v>32813</v>
      </c>
      <c r="B336" s="5" t="e">
        <f>Monthly!E336-Monthly!#REF!</f>
        <v>#REF!</v>
      </c>
      <c r="C336" s="7">
        <f>100*(LN(Monthly!H336)-LN(Monthly!H335))</f>
        <v>5.6400447476079307E-2</v>
      </c>
      <c r="D336" s="7">
        <v>1.6406006737505501</v>
      </c>
      <c r="E336" s="7" t="e">
        <f>100*(Monthly!#REF!-Monthly!#REF!)</f>
        <v>#REF!</v>
      </c>
      <c r="F336" s="7" t="e">
        <f>100*(Monthly!#REF!-Monthly!#REF!)</f>
        <v>#REF!</v>
      </c>
      <c r="G336" s="7">
        <v>0</v>
      </c>
    </row>
    <row r="337" spans="1:7" x14ac:dyDescent="0.3">
      <c r="A337" s="4">
        <v>32843</v>
      </c>
      <c r="B337" s="5" t="e">
        <f>Monthly!E337-Monthly!#REF!</f>
        <v>#REF!</v>
      </c>
      <c r="C337" s="7">
        <f>100*(LN(Monthly!H337)-LN(Monthly!H336))</f>
        <v>-0.27697544559117659</v>
      </c>
      <c r="D337" s="7">
        <v>2.1190697933962599</v>
      </c>
      <c r="E337" s="7" t="e">
        <f>100*(Monthly!#REF!-Monthly!#REF!)</f>
        <v>#REF!</v>
      </c>
      <c r="F337" s="7" t="e">
        <f>100*(Monthly!#REF!-Monthly!#REF!)</f>
        <v>#REF!</v>
      </c>
      <c r="G337" s="7">
        <v>0</v>
      </c>
    </row>
    <row r="338" spans="1:7" x14ac:dyDescent="0.3">
      <c r="A338" s="4">
        <v>32874</v>
      </c>
      <c r="B338" s="5" t="e">
        <f>Monthly!E338-Monthly!#REF!</f>
        <v>#REF!</v>
      </c>
      <c r="C338" s="7">
        <f>100*(LN(Monthly!H338)-LN(Monthly!H337))</f>
        <v>-0.33875279659616453</v>
      </c>
      <c r="D338" s="7">
        <v>-7.1299701117885199</v>
      </c>
      <c r="E338" s="7" t="e">
        <f>100*(Monthly!#REF!-Monthly!#REF!)</f>
        <v>#REF!</v>
      </c>
      <c r="F338" s="7" t="e">
        <f>100*(Monthly!#REF!-Monthly!#REF!)</f>
        <v>#REF!</v>
      </c>
      <c r="G338" s="7">
        <v>1</v>
      </c>
    </row>
    <row r="339" spans="1:7" x14ac:dyDescent="0.3">
      <c r="A339" s="4">
        <v>32905</v>
      </c>
      <c r="B339" s="5" t="e">
        <f>Monthly!E339-Monthly!#REF!</f>
        <v>#REF!</v>
      </c>
      <c r="C339" s="7">
        <f>100*(LN(Monthly!H339)-LN(Monthly!H338))</f>
        <v>0.11698323579025782</v>
      </c>
      <c r="D339" s="7">
        <v>0.85027913544831801</v>
      </c>
      <c r="E339" s="7" t="e">
        <f>100*(Monthly!#REF!-Monthly!#REF!)</f>
        <v>#REF!</v>
      </c>
      <c r="F339" s="7" t="e">
        <f>100*(Monthly!#REF!-Monthly!#REF!)</f>
        <v>#REF!</v>
      </c>
      <c r="G339" s="7">
        <v>0</v>
      </c>
    </row>
    <row r="340" spans="1:7" x14ac:dyDescent="0.3">
      <c r="A340" s="4">
        <v>32933</v>
      </c>
      <c r="B340" s="5" t="e">
        <f>Monthly!E340-Monthly!#REF!</f>
        <v>#REF!</v>
      </c>
      <c r="C340" s="7">
        <f>100*(LN(Monthly!H340)-LN(Monthly!H339))</f>
        <v>0.26859649617581027</v>
      </c>
      <c r="D340" s="7">
        <v>2.39655057797279</v>
      </c>
      <c r="E340" s="7" t="e">
        <f>100*(Monthly!#REF!-Monthly!#REF!)</f>
        <v>#REF!</v>
      </c>
      <c r="F340" s="7" t="e">
        <f>100*(Monthly!#REF!-Monthly!#REF!)</f>
        <v>#REF!</v>
      </c>
      <c r="G340" s="7">
        <v>0</v>
      </c>
    </row>
    <row r="341" spans="1:7" x14ac:dyDescent="0.3">
      <c r="A341" s="4">
        <v>32964</v>
      </c>
      <c r="B341" s="5" t="e">
        <f>Monthly!E341-Monthly!#REF!</f>
        <v>#REF!</v>
      </c>
      <c r="C341" s="7">
        <f>100*(LN(Monthly!H341)-LN(Monthly!H340))</f>
        <v>0.42783818754461578</v>
      </c>
      <c r="D341" s="7">
        <v>-2.72552123830893</v>
      </c>
      <c r="E341" s="7" t="e">
        <f>100*(Monthly!#REF!-Monthly!#REF!)</f>
        <v>#REF!</v>
      </c>
      <c r="F341" s="7" t="e">
        <f>100*(Monthly!#REF!-Monthly!#REF!)</f>
        <v>#REF!</v>
      </c>
      <c r="G341" s="7">
        <v>0</v>
      </c>
    </row>
    <row r="342" spans="1:7" x14ac:dyDescent="0.3">
      <c r="A342" s="4">
        <v>32994</v>
      </c>
      <c r="B342" s="5" t="e">
        <f>Monthly!E342-Monthly!#REF!</f>
        <v>#REF!</v>
      </c>
      <c r="C342" s="7">
        <f>100*(LN(Monthly!H342)-LN(Monthly!H341))</f>
        <v>-0.18257469676230542</v>
      </c>
      <c r="D342" s="7">
        <v>8.8000978737911595</v>
      </c>
      <c r="E342" s="7" t="e">
        <f>100*(Monthly!#REF!-Monthly!#REF!)</f>
        <v>#REF!</v>
      </c>
      <c r="F342" s="7" t="e">
        <f>100*(Monthly!#REF!-Monthly!#REF!)</f>
        <v>#REF!</v>
      </c>
      <c r="G342" s="7">
        <v>0</v>
      </c>
    </row>
    <row r="343" spans="1:7" x14ac:dyDescent="0.3">
      <c r="A343" s="4">
        <v>33025</v>
      </c>
      <c r="B343" s="5" t="e">
        <f>Monthly!E343-Monthly!#REF!</f>
        <v>#REF!</v>
      </c>
      <c r="C343" s="7">
        <f>100*(LN(Monthly!H343)-LN(Monthly!H342))</f>
        <v>0.24251178099632398</v>
      </c>
      <c r="D343" s="7">
        <v>-0.89260849102096396</v>
      </c>
      <c r="E343" s="7" t="e">
        <f>100*(Monthly!#REF!-Monthly!#REF!)</f>
        <v>#REF!</v>
      </c>
      <c r="F343" s="7" t="e">
        <f>100*(Monthly!#REF!-Monthly!#REF!)</f>
        <v>#REF!</v>
      </c>
      <c r="G343" s="7">
        <v>0</v>
      </c>
    </row>
    <row r="344" spans="1:7" x14ac:dyDescent="0.3">
      <c r="A344" s="4">
        <v>33055</v>
      </c>
      <c r="B344" s="5" t="e">
        <f>Monthly!E344-Monthly!#REF!</f>
        <v>#REF!</v>
      </c>
      <c r="C344" s="7">
        <f>100*(LN(Monthly!H344)-LN(Monthly!H343))</f>
        <v>-0.24480936088684402</v>
      </c>
      <c r="D344" s="7">
        <v>-0.52368467888153203</v>
      </c>
      <c r="E344" s="7" t="e">
        <f>100*(Monthly!#REF!-Monthly!#REF!)</f>
        <v>#REF!</v>
      </c>
      <c r="F344" s="7" t="e">
        <f>100*(Monthly!#REF!-Monthly!#REF!)</f>
        <v>#REF!</v>
      </c>
      <c r="G344" s="7">
        <v>0</v>
      </c>
    </row>
    <row r="345" spans="1:7" x14ac:dyDescent="0.3">
      <c r="A345" s="4">
        <v>33086</v>
      </c>
      <c r="B345" s="5" t="e">
        <f>Monthly!E345-Monthly!#REF!</f>
        <v>#REF!</v>
      </c>
      <c r="C345" s="7">
        <f>100*(LN(Monthly!H345)-LN(Monthly!H344))</f>
        <v>7.4714620823446154E-2</v>
      </c>
      <c r="D345" s="7">
        <v>-9.9062815412771297</v>
      </c>
      <c r="E345" s="7" t="e">
        <f>100*(Monthly!#REF!-Monthly!#REF!)</f>
        <v>#REF!</v>
      </c>
      <c r="F345" s="7" t="e">
        <f>100*(Monthly!#REF!-Monthly!#REF!)</f>
        <v>#REF!</v>
      </c>
      <c r="G345" s="7">
        <v>1</v>
      </c>
    </row>
    <row r="346" spans="1:7" x14ac:dyDescent="0.3">
      <c r="A346" s="4">
        <v>33117</v>
      </c>
      <c r="B346" s="5" t="e">
        <f>Monthly!E346-Monthly!#REF!</f>
        <v>#REF!</v>
      </c>
      <c r="C346" s="7">
        <f>100*(LN(Monthly!H346)-LN(Monthly!H345))</f>
        <v>-0.1415081747895286</v>
      </c>
      <c r="D346" s="7">
        <v>-5.2540710462768896</v>
      </c>
      <c r="E346" s="7" t="e">
        <f>100*(Monthly!#REF!-Monthly!#REF!)</f>
        <v>#REF!</v>
      </c>
      <c r="F346" s="7" t="e">
        <f>100*(Monthly!#REF!-Monthly!#REF!)</f>
        <v>#REF!</v>
      </c>
      <c r="G346" s="7">
        <v>0</v>
      </c>
    </row>
    <row r="347" spans="1:7" x14ac:dyDescent="0.3">
      <c r="A347" s="4">
        <v>33147</v>
      </c>
      <c r="B347" s="5" t="e">
        <f>Monthly!E347-Monthly!#REF!</f>
        <v>#REF!</v>
      </c>
      <c r="C347" s="7">
        <f>100*(LN(Monthly!H347)-LN(Monthly!H346))</f>
        <v>-0.28993969737385328</v>
      </c>
      <c r="D347" s="7">
        <v>-0.67207460051145995</v>
      </c>
      <c r="E347" s="7" t="e">
        <f>100*(Monthly!#REF!-Monthly!#REF!)</f>
        <v>#REF!</v>
      </c>
      <c r="F347" s="7" t="e">
        <f>100*(Monthly!#REF!-Monthly!#REF!)</f>
        <v>#REF!</v>
      </c>
      <c r="G347" s="7">
        <v>1</v>
      </c>
    </row>
    <row r="348" spans="1:7" x14ac:dyDescent="0.3">
      <c r="A348" s="4">
        <v>33178</v>
      </c>
      <c r="B348" s="5" t="e">
        <f>Monthly!E348-Monthly!#REF!</f>
        <v>#REF!</v>
      </c>
      <c r="C348" s="7">
        <f>100*(LN(Monthly!H348)-LN(Monthly!H347))</f>
        <v>0.26170475714408781</v>
      </c>
      <c r="D348" s="7">
        <v>5.8206844445033799</v>
      </c>
      <c r="E348" s="7" t="e">
        <f>100*(Monthly!#REF!-Monthly!#REF!)</f>
        <v>#REF!</v>
      </c>
      <c r="F348" s="7" t="e">
        <f>100*(Monthly!#REF!-Monthly!#REF!)</f>
        <v>#REF!</v>
      </c>
      <c r="G348" s="7">
        <v>1</v>
      </c>
    </row>
    <row r="349" spans="1:7" x14ac:dyDescent="0.3">
      <c r="A349" s="4">
        <v>33208</v>
      </c>
      <c r="B349" s="5" t="e">
        <f>Monthly!E349-Monthly!#REF!</f>
        <v>#REF!</v>
      </c>
      <c r="C349" s="7">
        <f>100*(LN(Monthly!H349)-LN(Monthly!H348))</f>
        <v>0.44329799721376517</v>
      </c>
      <c r="D349" s="7">
        <v>2.4524556849066701</v>
      </c>
      <c r="E349" s="7" t="e">
        <f>100*(Monthly!#REF!-Monthly!#REF!)</f>
        <v>#REF!</v>
      </c>
      <c r="F349" s="7" t="e">
        <f>100*(Monthly!#REF!-Monthly!#REF!)</f>
        <v>#REF!</v>
      </c>
      <c r="G349" s="7">
        <v>0</v>
      </c>
    </row>
    <row r="350" spans="1:7" x14ac:dyDescent="0.3">
      <c r="A350" s="4">
        <v>33239</v>
      </c>
      <c r="B350" s="5" t="e">
        <f>Monthly!E350-Monthly!#REF!</f>
        <v>#REF!</v>
      </c>
      <c r="C350" s="7">
        <f>100*(LN(Monthly!H350)-LN(Monthly!H349))</f>
        <v>-0.92266076967604249</v>
      </c>
      <c r="D350" s="7">
        <v>4.0679024298747697</v>
      </c>
      <c r="E350" s="7" t="e">
        <f>100*(Monthly!#REF!-Monthly!#REF!)</f>
        <v>#REF!</v>
      </c>
      <c r="F350" s="7" t="e">
        <f>100*(Monthly!#REF!-Monthly!#REF!)</f>
        <v>#REF!</v>
      </c>
      <c r="G350" s="7">
        <v>1</v>
      </c>
    </row>
    <row r="351" spans="1:7" x14ac:dyDescent="0.3">
      <c r="A351" s="4">
        <v>33270</v>
      </c>
      <c r="B351" s="5" t="e">
        <f>Monthly!E351-Monthly!#REF!</f>
        <v>#REF!</v>
      </c>
      <c r="C351" s="7">
        <f>100*(LN(Monthly!H351)-LN(Monthly!H350))</f>
        <v>-3.3882361552084461E-2</v>
      </c>
      <c r="D351" s="7">
        <v>6.5114458515776201</v>
      </c>
      <c r="E351" s="7" t="e">
        <f>100*(Monthly!#REF!-Monthly!#REF!)</f>
        <v>#REF!</v>
      </c>
      <c r="F351" s="7" t="e">
        <f>100*(Monthly!#REF!-Monthly!#REF!)</f>
        <v>#REF!</v>
      </c>
      <c r="G351" s="7">
        <v>1</v>
      </c>
    </row>
    <row r="352" spans="1:7" x14ac:dyDescent="0.3">
      <c r="A352" s="4">
        <v>33298</v>
      </c>
      <c r="B352" s="5" t="e">
        <f>Monthly!E352-Monthly!#REF!</f>
        <v>#REF!</v>
      </c>
      <c r="C352" s="7">
        <f>100*(LN(Monthly!H352)-LN(Monthly!H351))</f>
        <v>-0.1097286835021194</v>
      </c>
      <c r="D352" s="7">
        <v>2.1959938353917998</v>
      </c>
      <c r="E352" s="7" t="e">
        <f>100*(Monthly!#REF!-Monthly!#REF!)</f>
        <v>#REF!</v>
      </c>
      <c r="F352" s="7" t="e">
        <f>100*(Monthly!#REF!-Monthly!#REF!)</f>
        <v>#REF!</v>
      </c>
      <c r="G352" s="7">
        <v>0</v>
      </c>
    </row>
    <row r="353" spans="1:7" x14ac:dyDescent="0.3">
      <c r="A353" s="4">
        <v>33329</v>
      </c>
      <c r="B353" s="5" t="e">
        <f>Monthly!E353-Monthly!#REF!</f>
        <v>#REF!</v>
      </c>
      <c r="C353" s="7">
        <f>100*(LN(Monthly!H353)-LN(Monthly!H352))</f>
        <v>-0.61167234407193405</v>
      </c>
      <c r="D353" s="7">
        <v>3.1974823758309803E-2</v>
      </c>
      <c r="E353" s="7" t="e">
        <f>100*(Monthly!#REF!-Monthly!#REF!)</f>
        <v>#REF!</v>
      </c>
      <c r="F353" s="7" t="e">
        <f>100*(Monthly!#REF!-Monthly!#REF!)</f>
        <v>#REF!</v>
      </c>
      <c r="G353" s="7">
        <v>0</v>
      </c>
    </row>
    <row r="354" spans="1:7" x14ac:dyDescent="0.3">
      <c r="A354" s="4">
        <v>33359</v>
      </c>
      <c r="B354" s="5" t="e">
        <f>Monthly!E354-Monthly!#REF!</f>
        <v>#REF!</v>
      </c>
      <c r="C354" s="7">
        <f>100*(LN(Monthly!H354)-LN(Monthly!H353))</f>
        <v>-0.56524795012355966</v>
      </c>
      <c r="D354" s="7">
        <v>3.7878440105439601</v>
      </c>
      <c r="E354" s="7" t="e">
        <f>100*(Monthly!#REF!-Monthly!#REF!)</f>
        <v>#REF!</v>
      </c>
      <c r="F354" s="7" t="e">
        <f>100*(Monthly!#REF!-Monthly!#REF!)</f>
        <v>#REF!</v>
      </c>
      <c r="G354" s="7">
        <v>0</v>
      </c>
    </row>
    <row r="355" spans="1:7" x14ac:dyDescent="0.3">
      <c r="A355" s="4">
        <v>33390</v>
      </c>
      <c r="B355" s="5" t="e">
        <f>Monthly!E355-Monthly!#REF!</f>
        <v>#REF!</v>
      </c>
      <c r="C355" s="7">
        <f>100*(LN(Monthly!H355)-LN(Monthly!H354))</f>
        <v>-0.26726272749328928</v>
      </c>
      <c r="D355" s="7">
        <v>-4.9077465860149099</v>
      </c>
      <c r="E355" s="7" t="e">
        <f>100*(Monthly!#REF!-Monthly!#REF!)</f>
        <v>#REF!</v>
      </c>
      <c r="F355" s="7" t="e">
        <f>100*(Monthly!#REF!-Monthly!#REF!)</f>
        <v>#REF!</v>
      </c>
      <c r="G355" s="7">
        <v>0</v>
      </c>
    </row>
    <row r="356" spans="1:7" x14ac:dyDescent="0.3">
      <c r="A356" s="4">
        <v>33420</v>
      </c>
      <c r="B356" s="5" t="e">
        <f>Monthly!E356-Monthly!#REF!</f>
        <v>#REF!</v>
      </c>
      <c r="C356" s="7">
        <f>100*(LN(Monthly!H356)-LN(Monthly!H355))</f>
        <v>-0.47290162282696002</v>
      </c>
      <c r="D356" s="7">
        <v>4.3882276316961004</v>
      </c>
      <c r="E356" s="7" t="e">
        <f>100*(Monthly!#REF!-Monthly!#REF!)</f>
        <v>#REF!</v>
      </c>
      <c r="F356" s="7" t="e">
        <f>100*(Monthly!#REF!-Monthly!#REF!)</f>
        <v>#REF!</v>
      </c>
      <c r="G356" s="7">
        <v>0</v>
      </c>
    </row>
    <row r="357" spans="1:7" x14ac:dyDescent="0.3">
      <c r="A357" s="4">
        <v>33451</v>
      </c>
      <c r="B357" s="5" t="e">
        <f>Monthly!E357-Monthly!#REF!</f>
        <v>#REF!</v>
      </c>
      <c r="C357" s="7">
        <f>100*(LN(Monthly!H357)-LN(Monthly!H356))</f>
        <v>-0.77495097672004576</v>
      </c>
      <c r="D357" s="7">
        <v>1.9458239201722201</v>
      </c>
      <c r="E357" s="7" t="e">
        <f>100*(Monthly!#REF!-Monthly!#REF!)</f>
        <v>#REF!</v>
      </c>
      <c r="F357" s="7" t="e">
        <f>100*(Monthly!#REF!-Monthly!#REF!)</f>
        <v>#REF!</v>
      </c>
      <c r="G357" s="7">
        <v>0</v>
      </c>
    </row>
    <row r="358" spans="1:7" x14ac:dyDescent="0.3">
      <c r="A358" s="4">
        <v>33482</v>
      </c>
      <c r="B358" s="5" t="e">
        <f>Monthly!E358-Monthly!#REF!</f>
        <v>#REF!</v>
      </c>
      <c r="C358" s="7">
        <f>100*(LN(Monthly!H358)-LN(Monthly!H357))</f>
        <v>0.34695319362860744</v>
      </c>
      <c r="D358" s="7">
        <v>-1.93293498695595</v>
      </c>
      <c r="E358" s="7" t="e">
        <f>100*(Monthly!#REF!-Monthly!#REF!)</f>
        <v>#REF!</v>
      </c>
      <c r="F358" s="7" t="e">
        <f>100*(Monthly!#REF!-Monthly!#REF!)</f>
        <v>#REF!</v>
      </c>
      <c r="G358" s="7">
        <v>0</v>
      </c>
    </row>
    <row r="359" spans="1:7" x14ac:dyDescent="0.3">
      <c r="A359" s="4">
        <v>33512</v>
      </c>
      <c r="B359" s="5" t="e">
        <f>Monthly!E359-Monthly!#REF!</f>
        <v>#REF!</v>
      </c>
      <c r="C359" s="7">
        <f>100*(LN(Monthly!H359)-LN(Monthly!H358))</f>
        <v>7.4573807880806697E-2</v>
      </c>
      <c r="D359" s="7">
        <v>1.17647596767394</v>
      </c>
      <c r="E359" s="7" t="e">
        <f>100*(Monthly!#REF!-Monthly!#REF!)</f>
        <v>#REF!</v>
      </c>
      <c r="F359" s="7" t="e">
        <f>100*(Monthly!#REF!-Monthly!#REF!)</f>
        <v>#REF!</v>
      </c>
      <c r="G359" s="7">
        <v>0</v>
      </c>
    </row>
    <row r="360" spans="1:7" x14ac:dyDescent="0.3">
      <c r="A360" s="4">
        <v>33543</v>
      </c>
      <c r="B360" s="5" t="e">
        <f>Monthly!E360-Monthly!#REF!</f>
        <v>#REF!</v>
      </c>
      <c r="C360" s="7">
        <f>100*(LN(Monthly!H360)-LN(Monthly!H359))</f>
        <v>-0.41064373376276109</v>
      </c>
      <c r="D360" s="7">
        <v>-4.4896647808736496</v>
      </c>
      <c r="E360" s="7" t="e">
        <f>100*(Monthly!#REF!-Monthly!#REF!)</f>
        <v>#REF!</v>
      </c>
      <c r="F360" s="7" t="e">
        <f>100*(Monthly!#REF!-Monthly!#REF!)</f>
        <v>#REF!</v>
      </c>
      <c r="G360" s="7">
        <v>0</v>
      </c>
    </row>
    <row r="361" spans="1:7" x14ac:dyDescent="0.3">
      <c r="A361" s="4">
        <v>33573</v>
      </c>
      <c r="B361" s="5" t="e">
        <f>Monthly!E361-Monthly!#REF!</f>
        <v>#REF!</v>
      </c>
      <c r="C361" s="7">
        <f>100*(LN(Monthly!H361)-LN(Monthly!H360))</f>
        <v>6.8231952156505571E-2</v>
      </c>
      <c r="D361" s="7">
        <v>10.578949320065499</v>
      </c>
      <c r="E361" s="7" t="e">
        <f>100*(Monthly!#REF!-Monthly!#REF!)</f>
        <v>#REF!</v>
      </c>
      <c r="F361" s="7" t="e">
        <f>100*(Monthly!#REF!-Monthly!#REF!)</f>
        <v>#REF!</v>
      </c>
      <c r="G361" s="7">
        <v>0</v>
      </c>
    </row>
    <row r="362" spans="1:7" x14ac:dyDescent="0.3">
      <c r="A362" s="4">
        <v>33604</v>
      </c>
      <c r="B362" s="5" t="e">
        <f>Monthly!E362-Monthly!#REF!</f>
        <v>#REF!</v>
      </c>
      <c r="C362" s="7">
        <f>100*(LN(Monthly!H362)-LN(Monthly!H361))</f>
        <v>-0.85400669962121256</v>
      </c>
      <c r="D362" s="7">
        <v>-2.0124906041998298</v>
      </c>
      <c r="E362" s="7" t="e">
        <f>100*(Monthly!#REF!-Monthly!#REF!)</f>
        <v>#REF!</v>
      </c>
      <c r="F362" s="7" t="e">
        <f>100*(Monthly!#REF!-Monthly!#REF!)</f>
        <v>#REF!</v>
      </c>
      <c r="G362" s="7">
        <v>0</v>
      </c>
    </row>
    <row r="363" spans="1:7" x14ac:dyDescent="0.3">
      <c r="A363" s="4">
        <v>33635</v>
      </c>
      <c r="B363" s="5" t="e">
        <f>Monthly!E363-Monthly!#REF!</f>
        <v>#REF!</v>
      </c>
      <c r="C363" s="7">
        <f>100*(LN(Monthly!H363)-LN(Monthly!H362))</f>
        <v>-0.63756701674462235</v>
      </c>
      <c r="D363" s="7">
        <v>0.954385530957645</v>
      </c>
      <c r="E363" s="7" t="e">
        <f>100*(Monthly!#REF!-Monthly!#REF!)</f>
        <v>#REF!</v>
      </c>
      <c r="F363" s="7" t="e">
        <f>100*(Monthly!#REF!-Monthly!#REF!)</f>
        <v>#REF!</v>
      </c>
      <c r="G363" s="7">
        <v>0</v>
      </c>
    </row>
    <row r="364" spans="1:7" x14ac:dyDescent="0.3">
      <c r="A364" s="4">
        <v>33664</v>
      </c>
      <c r="B364" s="5" t="e">
        <f>Monthly!E364-Monthly!#REF!</f>
        <v>#REF!</v>
      </c>
      <c r="C364" s="7">
        <f>100*(LN(Monthly!H364)-LN(Monthly!H363))</f>
        <v>-0.38298573350870058</v>
      </c>
      <c r="D364" s="7">
        <v>-2.2073703606637798</v>
      </c>
      <c r="E364" s="7" t="e">
        <f>100*(Monthly!#REF!-Monthly!#REF!)</f>
        <v>#REF!</v>
      </c>
      <c r="F364" s="7" t="e">
        <f>100*(Monthly!#REF!-Monthly!#REF!)</f>
        <v>#REF!</v>
      </c>
      <c r="G364" s="7">
        <v>0</v>
      </c>
    </row>
    <row r="365" spans="1:7" x14ac:dyDescent="0.3">
      <c r="A365" s="4">
        <v>33695</v>
      </c>
      <c r="B365" s="5" t="e">
        <f>Monthly!E365-Monthly!#REF!</f>
        <v>#REF!</v>
      </c>
      <c r="C365" s="7">
        <f>100*(LN(Monthly!H365)-LN(Monthly!H364))</f>
        <v>-0.48247096060514139</v>
      </c>
      <c r="D365" s="7">
        <v>2.7510797732174099</v>
      </c>
      <c r="E365" s="7" t="e">
        <f>100*(Monthly!#REF!-Monthly!#REF!)</f>
        <v>#REF!</v>
      </c>
      <c r="F365" s="7" t="e">
        <f>100*(Monthly!#REF!-Monthly!#REF!)</f>
        <v>#REF!</v>
      </c>
      <c r="G365" s="7">
        <v>0</v>
      </c>
    </row>
    <row r="366" spans="1:7" x14ac:dyDescent="0.3">
      <c r="A366" s="4">
        <v>33725</v>
      </c>
      <c r="B366" s="5" t="e">
        <f>Monthly!E366-Monthly!#REF!</f>
        <v>#REF!</v>
      </c>
      <c r="C366" s="7">
        <f>100*(LN(Monthly!H366)-LN(Monthly!H365))</f>
        <v>-0.35935206198365321</v>
      </c>
      <c r="D366" s="7">
        <v>9.6349251741979003E-2</v>
      </c>
      <c r="E366" s="7" t="e">
        <f>100*(Monthly!#REF!-Monthly!#REF!)</f>
        <v>#REF!</v>
      </c>
      <c r="F366" s="7" t="e">
        <f>100*(Monthly!#REF!-Monthly!#REF!)</f>
        <v>#REF!</v>
      </c>
      <c r="G366" s="7">
        <v>0</v>
      </c>
    </row>
    <row r="367" spans="1:7" x14ac:dyDescent="0.3">
      <c r="A367" s="4">
        <v>33756</v>
      </c>
      <c r="B367" s="5" t="e">
        <f>Monthly!E367-Monthly!#REF!</f>
        <v>#REF!</v>
      </c>
      <c r="C367" s="7">
        <f>100*(LN(Monthly!H367)-LN(Monthly!H366))</f>
        <v>-0.2534040136999316</v>
      </c>
      <c r="D367" s="7">
        <v>-1.7511264288296899</v>
      </c>
      <c r="E367" s="7" t="e">
        <f>100*(Monthly!#REF!-Monthly!#REF!)</f>
        <v>#REF!</v>
      </c>
      <c r="F367" s="7" t="e">
        <f>100*(Monthly!#REF!-Monthly!#REF!)</f>
        <v>#REF!</v>
      </c>
      <c r="G367" s="7">
        <v>0</v>
      </c>
    </row>
    <row r="368" spans="1:7" x14ac:dyDescent="0.3">
      <c r="A368" s="4">
        <v>33786</v>
      </c>
      <c r="B368" s="5" t="e">
        <f>Monthly!E368-Monthly!#REF!</f>
        <v>#REF!</v>
      </c>
      <c r="C368" s="7">
        <f>100*(LN(Monthly!H368)-LN(Monthly!H367))</f>
        <v>-0.24603747605782544</v>
      </c>
      <c r="D368" s="7">
        <v>3.8618306803876701</v>
      </c>
      <c r="E368" s="7" t="e">
        <f>100*(Monthly!#REF!-Monthly!#REF!)</f>
        <v>#REF!</v>
      </c>
      <c r="F368" s="7" t="e">
        <f>100*(Monthly!#REF!-Monthly!#REF!)</f>
        <v>#REF!</v>
      </c>
      <c r="G368" s="7">
        <v>0</v>
      </c>
    </row>
    <row r="369" spans="1:7" x14ac:dyDescent="0.3">
      <c r="A369" s="4">
        <v>33817</v>
      </c>
      <c r="B369" s="5" t="e">
        <f>Monthly!E369-Monthly!#REF!</f>
        <v>#REF!</v>
      </c>
      <c r="C369" s="7">
        <f>100*(LN(Monthly!H369)-LN(Monthly!H368))</f>
        <v>-0.32911723404716042</v>
      </c>
      <c r="D369" s="7">
        <v>-2.4290163475819702</v>
      </c>
      <c r="E369" s="7" t="e">
        <f>100*(Monthly!#REF!-Monthly!#REF!)</f>
        <v>#REF!</v>
      </c>
      <c r="F369" s="7" t="e">
        <f>100*(Monthly!#REF!-Monthly!#REF!)</f>
        <v>#REF!</v>
      </c>
      <c r="G369" s="7">
        <v>0</v>
      </c>
    </row>
    <row r="370" spans="1:7" x14ac:dyDescent="0.3">
      <c r="A370" s="4">
        <v>33848</v>
      </c>
      <c r="B370" s="5" t="e">
        <f>Monthly!E370-Monthly!#REF!</f>
        <v>#REF!</v>
      </c>
      <c r="C370" s="7">
        <f>100*(LN(Monthly!H370)-LN(Monthly!H369))</f>
        <v>0.18608683436998064</v>
      </c>
      <c r="D370" s="7">
        <v>0.90643878853475601</v>
      </c>
      <c r="E370" s="7" t="e">
        <f>100*(Monthly!#REF!-Monthly!#REF!)</f>
        <v>#REF!</v>
      </c>
      <c r="F370" s="7" t="e">
        <f>100*(Monthly!#REF!-Monthly!#REF!)</f>
        <v>#REF!</v>
      </c>
      <c r="G370" s="7">
        <v>0</v>
      </c>
    </row>
    <row r="371" spans="1:7" x14ac:dyDescent="0.3">
      <c r="A371" s="4">
        <v>33878</v>
      </c>
      <c r="B371" s="5" t="e">
        <f>Monthly!E371-Monthly!#REF!</f>
        <v>#REF!</v>
      </c>
      <c r="C371" s="7">
        <f>100*(LN(Monthly!H371)-LN(Monthly!H370))</f>
        <v>-0.26157367318946356</v>
      </c>
      <c r="D371" s="7">
        <v>0.21040675880256801</v>
      </c>
      <c r="E371" s="7" t="e">
        <f>100*(Monthly!#REF!-Monthly!#REF!)</f>
        <v>#REF!</v>
      </c>
      <c r="F371" s="7" t="e">
        <f>100*(Monthly!#REF!-Monthly!#REF!)</f>
        <v>#REF!</v>
      </c>
      <c r="G371" s="7">
        <v>0</v>
      </c>
    </row>
    <row r="372" spans="1:7" x14ac:dyDescent="0.3">
      <c r="A372" s="4">
        <v>33909</v>
      </c>
      <c r="B372" s="5" t="e">
        <f>Monthly!E372-Monthly!#REF!</f>
        <v>#REF!</v>
      </c>
      <c r="C372" s="7">
        <f>100*(LN(Monthly!H372)-LN(Monthly!H371))</f>
        <v>1.045464994966494E-2</v>
      </c>
      <c r="D372" s="7">
        <v>2.9812952179299201</v>
      </c>
      <c r="E372" s="7" t="e">
        <f>100*(Monthly!#REF!-Monthly!#REF!)</f>
        <v>#REF!</v>
      </c>
      <c r="F372" s="7" t="e">
        <f>100*(Monthly!#REF!-Monthly!#REF!)</f>
        <v>#REF!</v>
      </c>
      <c r="G372" s="7">
        <v>0</v>
      </c>
    </row>
    <row r="373" spans="1:7" x14ac:dyDescent="0.3">
      <c r="A373" s="4">
        <v>33939</v>
      </c>
      <c r="B373" s="5" t="e">
        <f>Monthly!E373-Monthly!#REF!</f>
        <v>#REF!</v>
      </c>
      <c r="C373" s="7">
        <f>100*(LN(Monthly!H373)-LN(Monthly!H372))</f>
        <v>4.2552656824845769E-3</v>
      </c>
      <c r="D373" s="7">
        <v>1.00570251483202</v>
      </c>
      <c r="E373" s="7" t="e">
        <f>100*(Monthly!#REF!-Monthly!#REF!)</f>
        <v>#REF!</v>
      </c>
      <c r="F373" s="7" t="e">
        <f>100*(Monthly!#REF!-Monthly!#REF!)</f>
        <v>#REF!</v>
      </c>
      <c r="G373" s="7">
        <v>0</v>
      </c>
    </row>
    <row r="374" spans="1:7" x14ac:dyDescent="0.3">
      <c r="A374" s="4">
        <v>33970</v>
      </c>
      <c r="B374" s="5" t="e">
        <f>Monthly!E374-Monthly!#REF!</f>
        <v>#REF!</v>
      </c>
      <c r="C374" s="7">
        <f>100*(LN(Monthly!H374)-LN(Monthly!H373))</f>
        <v>-0.24604718907985657</v>
      </c>
      <c r="D374" s="7">
        <v>0.70212809081691496</v>
      </c>
      <c r="E374" s="7" t="e">
        <f>100*(Monthly!#REF!-Monthly!#REF!)</f>
        <v>#REF!</v>
      </c>
      <c r="F374" s="7" t="e">
        <f>100*(Monthly!#REF!-Monthly!#REF!)</f>
        <v>#REF!</v>
      </c>
      <c r="G374" s="7">
        <v>0</v>
      </c>
    </row>
    <row r="375" spans="1:7" x14ac:dyDescent="0.3">
      <c r="A375" s="4">
        <v>34001</v>
      </c>
      <c r="B375" s="5" t="e">
        <f>Monthly!E375-Monthly!#REF!</f>
        <v>#REF!</v>
      </c>
      <c r="C375" s="7">
        <f>100*(LN(Monthly!H375)-LN(Monthly!H374))</f>
        <v>-0.34417859377890991</v>
      </c>
      <c r="D375" s="7">
        <v>1.0429055449634701</v>
      </c>
      <c r="E375" s="7" t="e">
        <f>100*(Monthly!#REF!-Monthly!#REF!)</f>
        <v>#REF!</v>
      </c>
      <c r="F375" s="7" t="e">
        <f>100*(Monthly!#REF!-Monthly!#REF!)</f>
        <v>#REF!</v>
      </c>
      <c r="G375" s="7">
        <v>0</v>
      </c>
    </row>
    <row r="376" spans="1:7" x14ac:dyDescent="0.3">
      <c r="A376" s="4">
        <v>34029</v>
      </c>
      <c r="B376" s="5" t="e">
        <f>Monthly!E376-Monthly!#REF!</f>
        <v>#REF!</v>
      </c>
      <c r="C376" s="7">
        <f>100*(LN(Monthly!H376)-LN(Monthly!H375))</f>
        <v>-0.35564916295793836</v>
      </c>
      <c r="D376" s="7">
        <v>1.85246532428304</v>
      </c>
      <c r="E376" s="7" t="e">
        <f>100*(Monthly!#REF!-Monthly!#REF!)</f>
        <v>#REF!</v>
      </c>
      <c r="F376" s="7" t="e">
        <f>100*(Monthly!#REF!-Monthly!#REF!)</f>
        <v>#REF!</v>
      </c>
      <c r="G376" s="7">
        <v>0</v>
      </c>
    </row>
    <row r="377" spans="1:7" x14ac:dyDescent="0.3">
      <c r="A377" s="4">
        <v>34060</v>
      </c>
      <c r="B377" s="5" t="e">
        <f>Monthly!E377-Monthly!#REF!</f>
        <v>#REF!</v>
      </c>
      <c r="C377" s="7">
        <f>100*(LN(Monthly!H377)-LN(Monthly!H376))</f>
        <v>-0.97227314545698107</v>
      </c>
      <c r="D377" s="7">
        <v>-2.5745396987600202</v>
      </c>
      <c r="E377" s="7" t="e">
        <f>100*(Monthly!#REF!-Monthly!#REF!)</f>
        <v>#REF!</v>
      </c>
      <c r="F377" s="7" t="e">
        <f>100*(Monthly!#REF!-Monthly!#REF!)</f>
        <v>#REF!</v>
      </c>
      <c r="G377" s="7">
        <v>0</v>
      </c>
    </row>
    <row r="378" spans="1:7" x14ac:dyDescent="0.3">
      <c r="A378" s="4">
        <v>34090</v>
      </c>
      <c r="B378" s="5" t="e">
        <f>Monthly!E378-Monthly!#REF!</f>
        <v>#REF!</v>
      </c>
      <c r="C378" s="7">
        <f>100*(LN(Monthly!H378)-LN(Monthly!H377))</f>
        <v>0.41353667907282343</v>
      </c>
      <c r="D378" s="7">
        <v>2.24632638651839</v>
      </c>
      <c r="E378" s="7" t="e">
        <f>100*(Monthly!#REF!-Monthly!#REF!)</f>
        <v>#REF!</v>
      </c>
      <c r="F378" s="7" t="e">
        <f>100*(Monthly!#REF!-Monthly!#REF!)</f>
        <v>#REF!</v>
      </c>
      <c r="G378" s="7">
        <v>0</v>
      </c>
    </row>
    <row r="379" spans="1:7" x14ac:dyDescent="0.3">
      <c r="A379" s="4">
        <v>34121</v>
      </c>
      <c r="B379" s="5" t="e">
        <f>Monthly!E379-Monthly!#REF!</f>
        <v>#REF!</v>
      </c>
      <c r="C379" s="7">
        <f>100*(LN(Monthly!H379)-LN(Monthly!H378))</f>
        <v>0.32318133093571788</v>
      </c>
      <c r="D379" s="7">
        <v>7.5494349759734694E-2</v>
      </c>
      <c r="E379" s="7" t="e">
        <f>100*(Monthly!#REF!-Monthly!#REF!)</f>
        <v>#REF!</v>
      </c>
      <c r="F379" s="7" t="e">
        <f>100*(Monthly!#REF!-Monthly!#REF!)</f>
        <v>#REF!</v>
      </c>
      <c r="G379" s="7">
        <v>0</v>
      </c>
    </row>
    <row r="380" spans="1:7" x14ac:dyDescent="0.3">
      <c r="A380" s="4">
        <v>34151</v>
      </c>
      <c r="B380" s="5" t="e">
        <f>Monthly!E380-Monthly!#REF!</f>
        <v>#REF!</v>
      </c>
      <c r="C380" s="7">
        <f>100*(LN(Monthly!H380)-LN(Monthly!H379))</f>
        <v>-0.33651541489794212</v>
      </c>
      <c r="D380" s="7">
        <v>-0.534128500779397</v>
      </c>
      <c r="E380" s="7" t="e">
        <f>100*(Monthly!#REF!-Monthly!#REF!)</f>
        <v>#REF!</v>
      </c>
      <c r="F380" s="7" t="e">
        <f>100*(Monthly!#REF!-Monthly!#REF!)</f>
        <v>#REF!</v>
      </c>
      <c r="G380" s="7">
        <v>0</v>
      </c>
    </row>
    <row r="381" spans="1:7" x14ac:dyDescent="0.3">
      <c r="A381" s="4">
        <v>34182</v>
      </c>
      <c r="B381" s="5" t="e">
        <f>Monthly!E381-Monthly!#REF!</f>
        <v>#REF!</v>
      </c>
      <c r="C381" s="7">
        <f>100*(LN(Monthly!H381)-LN(Monthly!H380))</f>
        <v>-1.9068788287324168E-2</v>
      </c>
      <c r="D381" s="7">
        <v>3.3852441410816301</v>
      </c>
      <c r="E381" s="7" t="e">
        <f>100*(Monthly!#REF!-Monthly!#REF!)</f>
        <v>#REF!</v>
      </c>
      <c r="F381" s="7" t="e">
        <f>100*(Monthly!#REF!-Monthly!#REF!)</f>
        <v>#REF!</v>
      </c>
      <c r="G381" s="7">
        <v>0</v>
      </c>
    </row>
    <row r="382" spans="1:7" x14ac:dyDescent="0.3">
      <c r="A382" s="4">
        <v>34213</v>
      </c>
      <c r="B382" s="5" t="e">
        <f>Monthly!E382-Monthly!#REF!</f>
        <v>#REF!</v>
      </c>
      <c r="C382" s="7">
        <f>100*(LN(Monthly!H382)-LN(Monthly!H381))</f>
        <v>-0.40214084682075324</v>
      </c>
      <c r="D382" s="7">
        <v>-1.00381441750981</v>
      </c>
      <c r="E382" s="7" t="e">
        <f>100*(Monthly!#REF!-Monthly!#REF!)</f>
        <v>#REF!</v>
      </c>
      <c r="F382" s="7" t="e">
        <f>100*(Monthly!#REF!-Monthly!#REF!)</f>
        <v>#REF!</v>
      </c>
      <c r="G382" s="7">
        <v>0</v>
      </c>
    </row>
    <row r="383" spans="1:7" x14ac:dyDescent="0.3">
      <c r="A383" s="4">
        <v>34243</v>
      </c>
      <c r="B383" s="5" t="e">
        <f>Monthly!E383-Monthly!#REF!</f>
        <v>#REF!</v>
      </c>
      <c r="C383" s="7">
        <f>100*(LN(Monthly!H383)-LN(Monthly!H382))</f>
        <v>-0.26498187117303118</v>
      </c>
      <c r="D383" s="7">
        <v>1.9207276337299699</v>
      </c>
      <c r="E383" s="7" t="e">
        <f>100*(Monthly!#REF!-Monthly!#REF!)</f>
        <v>#REF!</v>
      </c>
      <c r="F383" s="7" t="e">
        <f>100*(Monthly!#REF!-Monthly!#REF!)</f>
        <v>#REF!</v>
      </c>
      <c r="G383" s="7">
        <v>0</v>
      </c>
    </row>
    <row r="384" spans="1:7" x14ac:dyDescent="0.3">
      <c r="A384" s="4">
        <v>34274</v>
      </c>
      <c r="B384" s="5" t="e">
        <f>Monthly!E384-Monthly!#REF!</f>
        <v>#REF!</v>
      </c>
      <c r="C384" s="7">
        <f>100*(LN(Monthly!H384)-LN(Monthly!H383))</f>
        <v>2.416187957274829E-2</v>
      </c>
      <c r="D384" s="7">
        <v>-1.29946925677408</v>
      </c>
      <c r="E384" s="7" t="e">
        <f>100*(Monthly!#REF!-Monthly!#REF!)</f>
        <v>#REF!</v>
      </c>
      <c r="F384" s="7" t="e">
        <f>100*(Monthly!#REF!-Monthly!#REF!)</f>
        <v>#REF!</v>
      </c>
      <c r="G384" s="7">
        <v>0</v>
      </c>
    </row>
    <row r="385" spans="1:7" x14ac:dyDescent="0.3">
      <c r="A385" s="4">
        <v>34304</v>
      </c>
      <c r="B385" s="5" t="e">
        <f>Monthly!E385-Monthly!#REF!</f>
        <v>#REF!</v>
      </c>
      <c r="C385" s="7">
        <f>100*(LN(Monthly!H385)-LN(Monthly!H384))</f>
        <v>-9.5030902666159989E-3</v>
      </c>
      <c r="D385" s="7">
        <v>1.0040598783038699</v>
      </c>
      <c r="E385" s="7" t="e">
        <f>100*(Monthly!#REF!-Monthly!#REF!)</f>
        <v>#REF!</v>
      </c>
      <c r="F385" s="7" t="e">
        <f>100*(Monthly!#REF!-Monthly!#REF!)</f>
        <v>#REF!</v>
      </c>
      <c r="G385" s="7">
        <v>0</v>
      </c>
    </row>
    <row r="386" spans="1:7" x14ac:dyDescent="0.3">
      <c r="A386" s="4">
        <v>34335</v>
      </c>
      <c r="B386" s="5" t="e">
        <f>Monthly!E386-Monthly!#REF!</f>
        <v>#REF!</v>
      </c>
      <c r="C386" s="7">
        <f>100*(LN(Monthly!H386)-LN(Monthly!H385))</f>
        <v>0.58476673505918342</v>
      </c>
      <c r="D386" s="7">
        <v>3.1983767906037199</v>
      </c>
      <c r="E386" s="7" t="e">
        <f>100*(Monthly!#REF!-Monthly!#REF!)</f>
        <v>#REF!</v>
      </c>
      <c r="F386" s="7" t="e">
        <f>100*(Monthly!#REF!-Monthly!#REF!)</f>
        <v>#REF!</v>
      </c>
      <c r="G386" s="7">
        <v>0</v>
      </c>
    </row>
    <row r="387" spans="1:7" x14ac:dyDescent="0.3">
      <c r="A387" s="4">
        <v>34366</v>
      </c>
      <c r="B387" s="5" t="e">
        <f>Monthly!E387-Monthly!#REF!</f>
        <v>#REF!</v>
      </c>
      <c r="C387" s="7">
        <f>100*(LN(Monthly!H387)-LN(Monthly!H386))</f>
        <v>8.5779461190682582E-2</v>
      </c>
      <c r="D387" s="7">
        <v>-3.0505597516048102</v>
      </c>
      <c r="E387" s="7" t="e">
        <f>100*(Monthly!#REF!-Monthly!#REF!)</f>
        <v>#REF!</v>
      </c>
      <c r="F387" s="7" t="e">
        <f>100*(Monthly!#REF!-Monthly!#REF!)</f>
        <v>#REF!</v>
      </c>
      <c r="G387" s="7">
        <v>0</v>
      </c>
    </row>
    <row r="388" spans="1:7" x14ac:dyDescent="0.3">
      <c r="A388" s="4">
        <v>34394</v>
      </c>
      <c r="B388" s="5" t="e">
        <f>Monthly!E388-Monthly!#REF!</f>
        <v>#REF!</v>
      </c>
      <c r="C388" s="7">
        <f>100*(LN(Monthly!H388)-LN(Monthly!H387))</f>
        <v>1.1612436729228293</v>
      </c>
      <c r="D388" s="7">
        <v>-4.6825930676400302</v>
      </c>
      <c r="E388" s="7" t="e">
        <f>100*(Monthly!#REF!-Monthly!#REF!)</f>
        <v>#REF!</v>
      </c>
      <c r="F388" s="7" t="e">
        <f>100*(Monthly!#REF!-Monthly!#REF!)</f>
        <v>#REF!</v>
      </c>
      <c r="G388" s="7">
        <v>0</v>
      </c>
    </row>
    <row r="389" spans="1:7" x14ac:dyDescent="0.3">
      <c r="A389" s="4">
        <v>34425</v>
      </c>
      <c r="B389" s="5" t="e">
        <f>Monthly!E389-Monthly!#REF!</f>
        <v>#REF!</v>
      </c>
      <c r="C389" s="7">
        <f>100*(LN(Monthly!H389)-LN(Monthly!H388))</f>
        <v>0.93958761763710541</v>
      </c>
      <c r="D389" s="7">
        <v>1.1464671878566599</v>
      </c>
      <c r="E389" s="7" t="e">
        <f>100*(Monthly!#REF!-Monthly!#REF!)</f>
        <v>#REF!</v>
      </c>
      <c r="F389" s="7" t="e">
        <f>100*(Monthly!#REF!-Monthly!#REF!)</f>
        <v>#REF!</v>
      </c>
      <c r="G389" s="7">
        <v>0</v>
      </c>
    </row>
    <row r="390" spans="1:7" x14ac:dyDescent="0.3">
      <c r="A390" s="4">
        <v>34455</v>
      </c>
      <c r="B390" s="5" t="e">
        <f>Monthly!E390-Monthly!#REF!</f>
        <v>#REF!</v>
      </c>
      <c r="C390" s="7">
        <f>100*(LN(Monthly!H390)-LN(Monthly!H389))</f>
        <v>0.72147049259951856</v>
      </c>
      <c r="D390" s="7">
        <v>1.2320928865823499</v>
      </c>
      <c r="E390" s="7" t="e">
        <f>100*(Monthly!#REF!-Monthly!#REF!)</f>
        <v>#REF!</v>
      </c>
      <c r="F390" s="7" t="e">
        <f>100*(Monthly!#REF!-Monthly!#REF!)</f>
        <v>#REF!</v>
      </c>
      <c r="G390" s="7">
        <v>0</v>
      </c>
    </row>
    <row r="391" spans="1:7" x14ac:dyDescent="0.3">
      <c r="A391" s="4">
        <v>34486</v>
      </c>
      <c r="B391" s="5" t="e">
        <f>Monthly!E391-Monthly!#REF!</f>
        <v>#REF!</v>
      </c>
      <c r="C391" s="7">
        <f>100*(LN(Monthly!H391)-LN(Monthly!H390))</f>
        <v>0.65107017016083901</v>
      </c>
      <c r="D391" s="7">
        <v>-2.7156239046446098</v>
      </c>
      <c r="E391" s="7" t="e">
        <f>100*(Monthly!#REF!-Monthly!#REF!)</f>
        <v>#REF!</v>
      </c>
      <c r="F391" s="7" t="e">
        <f>100*(Monthly!#REF!-Monthly!#REF!)</f>
        <v>#REF!</v>
      </c>
      <c r="G391" s="7">
        <v>0</v>
      </c>
    </row>
    <row r="392" spans="1:7" x14ac:dyDescent="0.3">
      <c r="A392" s="4">
        <v>34516</v>
      </c>
      <c r="B392" s="5" t="e">
        <f>Monthly!E392-Monthly!#REF!</f>
        <v>#REF!</v>
      </c>
      <c r="C392" s="7">
        <f>100*(LN(Monthly!H392)-LN(Monthly!H391))</f>
        <v>1.2849377055094813</v>
      </c>
      <c r="D392" s="7">
        <v>3.1004268952846998</v>
      </c>
      <c r="E392" s="7" t="e">
        <f>100*(Monthly!#REF!-Monthly!#REF!)</f>
        <v>#REF!</v>
      </c>
      <c r="F392" s="7" t="e">
        <f>100*(Monthly!#REF!-Monthly!#REF!)</f>
        <v>#REF!</v>
      </c>
      <c r="G392" s="7">
        <v>0</v>
      </c>
    </row>
    <row r="393" spans="1:7" x14ac:dyDescent="0.3">
      <c r="A393" s="4">
        <v>34547</v>
      </c>
      <c r="B393" s="5" t="e">
        <f>Monthly!E393-Monthly!#REF!</f>
        <v>#REF!</v>
      </c>
      <c r="C393" s="7">
        <f>100*(LN(Monthly!H393)-LN(Monthly!H392))</f>
        <v>0.92646835393725979</v>
      </c>
      <c r="D393" s="7">
        <v>3.6909100790636198</v>
      </c>
      <c r="E393" s="7" t="e">
        <f>100*(Monthly!#REF!-Monthly!#REF!)</f>
        <v>#REF!</v>
      </c>
      <c r="F393" s="7" t="e">
        <f>100*(Monthly!#REF!-Monthly!#REF!)</f>
        <v>#REF!</v>
      </c>
      <c r="G393" s="7">
        <v>0</v>
      </c>
    </row>
    <row r="394" spans="1:7" x14ac:dyDescent="0.3">
      <c r="A394" s="4">
        <v>34578</v>
      </c>
      <c r="B394" s="5" t="e">
        <f>Monthly!E394-Monthly!#REF!</f>
        <v>#REF!</v>
      </c>
      <c r="C394" s="7">
        <f>100*(LN(Monthly!H394)-LN(Monthly!H393))</f>
        <v>0.43932701735274193</v>
      </c>
      <c r="D394" s="7">
        <v>-2.7245341243997401</v>
      </c>
      <c r="E394" s="7" t="e">
        <f>100*(Monthly!#REF!-Monthly!#REF!)</f>
        <v>#REF!</v>
      </c>
      <c r="F394" s="7" t="e">
        <f>100*(Monthly!#REF!-Monthly!#REF!)</f>
        <v>#REF!</v>
      </c>
      <c r="G394" s="7">
        <v>0</v>
      </c>
    </row>
    <row r="395" spans="1:7" x14ac:dyDescent="0.3">
      <c r="A395" s="4">
        <v>34608</v>
      </c>
      <c r="B395" s="5" t="e">
        <f>Monthly!E395-Monthly!#REF!</f>
        <v>#REF!</v>
      </c>
      <c r="C395" s="7">
        <f>100*(LN(Monthly!H395)-LN(Monthly!H394))</f>
        <v>1.0452306273248446</v>
      </c>
      <c r="D395" s="7">
        <v>2.0619759648675799</v>
      </c>
      <c r="E395" s="7" t="e">
        <f>100*(Monthly!#REF!-Monthly!#REF!)</f>
        <v>#REF!</v>
      </c>
      <c r="F395" s="7" t="e">
        <f>100*(Monthly!#REF!-Monthly!#REF!)</f>
        <v>#REF!</v>
      </c>
      <c r="G395" s="7">
        <v>0</v>
      </c>
    </row>
    <row r="396" spans="1:7" x14ac:dyDescent="0.3">
      <c r="A396" s="4">
        <v>34639</v>
      </c>
      <c r="B396" s="5" t="e">
        <f>Monthly!E396-Monthly!#REF!</f>
        <v>#REF!</v>
      </c>
      <c r="C396" s="7">
        <f>100*(LN(Monthly!H396)-LN(Monthly!H395))</f>
        <v>1.0774843318789529</v>
      </c>
      <c r="D396" s="7">
        <v>-4.0306098324758697</v>
      </c>
      <c r="E396" s="7" t="e">
        <f>100*(Monthly!#REF!-Monthly!#REF!)</f>
        <v>#REF!</v>
      </c>
      <c r="F396" s="7" t="e">
        <f>100*(Monthly!#REF!-Monthly!#REF!)</f>
        <v>#REF!</v>
      </c>
      <c r="G396" s="7">
        <v>0</v>
      </c>
    </row>
    <row r="397" spans="1:7" x14ac:dyDescent="0.3">
      <c r="A397" s="4">
        <v>34669</v>
      </c>
      <c r="B397" s="5" t="e">
        <f>Monthly!E397-Monthly!#REF!</f>
        <v>#REF!</v>
      </c>
      <c r="C397" s="7">
        <f>100*(LN(Monthly!H397)-LN(Monthly!H396))</f>
        <v>0.86176212671276176</v>
      </c>
      <c r="D397" s="7">
        <v>1.22240976788351</v>
      </c>
      <c r="E397" s="7" t="e">
        <f>100*(Monthly!#REF!-Monthly!#REF!)</f>
        <v>#REF!</v>
      </c>
      <c r="F397" s="7" t="e">
        <f>100*(Monthly!#REF!-Monthly!#REF!)</f>
        <v>#REF!</v>
      </c>
      <c r="G397" s="7">
        <v>0</v>
      </c>
    </row>
    <row r="398" spans="1:7" x14ac:dyDescent="0.3">
      <c r="A398" s="4">
        <v>34700</v>
      </c>
      <c r="B398" s="5" t="e">
        <f>Monthly!E398-Monthly!#REF!</f>
        <v>#REF!</v>
      </c>
      <c r="C398" s="7">
        <f>100*(LN(Monthly!H398)-LN(Monthly!H397))</f>
        <v>1.5901919490862504</v>
      </c>
      <c r="D398" s="7">
        <v>2.39876927407221</v>
      </c>
      <c r="E398" s="7" t="e">
        <f>100*(Monthly!#REF!-Monthly!#REF!)</f>
        <v>#REF!</v>
      </c>
      <c r="F398" s="7" t="e">
        <f>100*(Monthly!#REF!-Monthly!#REF!)</f>
        <v>#REF!</v>
      </c>
      <c r="G398" s="7">
        <v>0</v>
      </c>
    </row>
    <row r="399" spans="1:7" x14ac:dyDescent="0.3">
      <c r="A399" s="4">
        <v>34731</v>
      </c>
      <c r="B399" s="5" t="e">
        <f>Monthly!E399-Monthly!#REF!</f>
        <v>#REF!</v>
      </c>
      <c r="C399" s="7">
        <f>100*(LN(Monthly!H399)-LN(Monthly!H398))</f>
        <v>1.8284674552507596</v>
      </c>
      <c r="D399" s="7">
        <v>3.5438712774815202</v>
      </c>
      <c r="E399" s="7" t="e">
        <f>100*(Monthly!#REF!-Monthly!#REF!)</f>
        <v>#REF!</v>
      </c>
      <c r="F399" s="7" t="e">
        <f>100*(Monthly!#REF!-Monthly!#REF!)</f>
        <v>#REF!</v>
      </c>
      <c r="G399" s="7">
        <v>0</v>
      </c>
    </row>
    <row r="400" spans="1:7" x14ac:dyDescent="0.3">
      <c r="A400" s="4">
        <v>34759</v>
      </c>
      <c r="B400" s="5" t="e">
        <f>Monthly!E400-Monthly!#REF!</f>
        <v>#REF!</v>
      </c>
      <c r="C400" s="7">
        <f>100*(LN(Monthly!H400)-LN(Monthly!H399))</f>
        <v>1.0615822515385176</v>
      </c>
      <c r="D400" s="7">
        <v>2.6962420103642399</v>
      </c>
      <c r="E400" s="7" t="e">
        <f>100*(Monthly!#REF!-Monthly!#REF!)</f>
        <v>#REF!</v>
      </c>
      <c r="F400" s="7" t="e">
        <f>100*(Monthly!#REF!-Monthly!#REF!)</f>
        <v>#REF!</v>
      </c>
      <c r="G400" s="7">
        <v>0</v>
      </c>
    </row>
    <row r="401" spans="1:7" x14ac:dyDescent="0.3">
      <c r="A401" s="4">
        <v>34790</v>
      </c>
      <c r="B401" s="5" t="e">
        <f>Monthly!E401-Monthly!#REF!</f>
        <v>#REF!</v>
      </c>
      <c r="C401" s="7">
        <f>100*(LN(Monthly!H401)-LN(Monthly!H400))</f>
        <v>0.58309582937763338</v>
      </c>
      <c r="D401" s="7">
        <v>2.75766038428389</v>
      </c>
      <c r="E401" s="7" t="e">
        <f>100*(Monthly!#REF!-Monthly!#REF!)</f>
        <v>#REF!</v>
      </c>
      <c r="F401" s="7" t="e">
        <f>100*(Monthly!#REF!-Monthly!#REF!)</f>
        <v>#REF!</v>
      </c>
      <c r="G401" s="7">
        <v>0</v>
      </c>
    </row>
    <row r="402" spans="1:7" x14ac:dyDescent="0.3">
      <c r="A402" s="4">
        <v>34820</v>
      </c>
      <c r="B402" s="5" t="e">
        <f>Monthly!E402-Monthly!#REF!</f>
        <v>#REF!</v>
      </c>
      <c r="C402" s="7">
        <f>100*(LN(Monthly!H402)-LN(Monthly!H401))</f>
        <v>1.2639240072194191</v>
      </c>
      <c r="D402" s="7">
        <v>3.5667979565724801</v>
      </c>
      <c r="E402" s="7" t="e">
        <f>100*(Monthly!#REF!-Monthly!#REF!)</f>
        <v>#REF!</v>
      </c>
      <c r="F402" s="7" t="e">
        <f>100*(Monthly!#REF!-Monthly!#REF!)</f>
        <v>#REF!</v>
      </c>
      <c r="G402" s="7">
        <v>0</v>
      </c>
    </row>
    <row r="403" spans="1:7" x14ac:dyDescent="0.3">
      <c r="A403" s="4">
        <v>34851</v>
      </c>
      <c r="B403" s="5" t="e">
        <f>Monthly!E403-Monthly!#REF!</f>
        <v>#REF!</v>
      </c>
      <c r="C403" s="7">
        <f>100*(LN(Monthly!H403)-LN(Monthly!H402))</f>
        <v>0.62917913172508833</v>
      </c>
      <c r="D403" s="7">
        <v>2.10553163061704</v>
      </c>
      <c r="E403" s="7" t="e">
        <f>100*(Monthly!#REF!-Monthly!#REF!)</f>
        <v>#REF!</v>
      </c>
      <c r="F403" s="7" t="e">
        <f>100*(Monthly!#REF!-Monthly!#REF!)</f>
        <v>#REF!</v>
      </c>
      <c r="G403" s="7">
        <v>0</v>
      </c>
    </row>
    <row r="404" spans="1:7" x14ac:dyDescent="0.3">
      <c r="A404" s="4">
        <v>34881</v>
      </c>
      <c r="B404" s="5" t="e">
        <f>Monthly!E404-Monthly!#REF!</f>
        <v>#REF!</v>
      </c>
      <c r="C404" s="7">
        <f>100*(LN(Monthly!H404)-LN(Monthly!H403))</f>
        <v>1.1928172964095651</v>
      </c>
      <c r="D404" s="7">
        <v>3.12816275925121</v>
      </c>
      <c r="E404" s="7" t="e">
        <f>100*(Monthly!#REF!-Monthly!#REF!)</f>
        <v>#REF!</v>
      </c>
      <c r="F404" s="7" t="e">
        <f>100*(Monthly!#REF!-Monthly!#REF!)</f>
        <v>#REF!</v>
      </c>
      <c r="G404" s="7">
        <v>0</v>
      </c>
    </row>
    <row r="405" spans="1:7" x14ac:dyDescent="0.3">
      <c r="A405" s="4">
        <v>34912</v>
      </c>
      <c r="B405" s="5" t="e">
        <f>Monthly!E405-Monthly!#REF!</f>
        <v>#REF!</v>
      </c>
      <c r="C405" s="7">
        <f>100*(LN(Monthly!H405)-LN(Monthly!H404))</f>
        <v>0.63836444037059792</v>
      </c>
      <c r="D405" s="7">
        <v>-3.2028876439842702E-2</v>
      </c>
      <c r="E405" s="7" t="e">
        <f>100*(Monthly!#REF!-Monthly!#REF!)</f>
        <v>#REF!</v>
      </c>
      <c r="F405" s="7" t="e">
        <f>100*(Monthly!#REF!-Monthly!#REF!)</f>
        <v>#REF!</v>
      </c>
      <c r="G405" s="7">
        <v>0</v>
      </c>
    </row>
    <row r="406" spans="1:7" x14ac:dyDescent="0.3">
      <c r="A406" s="4">
        <v>34943</v>
      </c>
      <c r="B406" s="5" t="e">
        <f>Monthly!E406-Monthly!#REF!</f>
        <v>#REF!</v>
      </c>
      <c r="C406" s="7">
        <f>100*(LN(Monthly!H406)-LN(Monthly!H405))</f>
        <v>0.43852275485578573</v>
      </c>
      <c r="D406" s="7">
        <v>3.9314432691588599</v>
      </c>
      <c r="E406" s="7" t="e">
        <f>100*(Monthly!#REF!-Monthly!#REF!)</f>
        <v>#REF!</v>
      </c>
      <c r="F406" s="7" t="e">
        <f>100*(Monthly!#REF!-Monthly!#REF!)</f>
        <v>#REF!</v>
      </c>
      <c r="G406" s="7">
        <v>0</v>
      </c>
    </row>
    <row r="407" spans="1:7" x14ac:dyDescent="0.3">
      <c r="A407" s="4">
        <v>34973</v>
      </c>
      <c r="B407" s="5" t="e">
        <f>Monthly!E407-Monthly!#REF!</f>
        <v>#REF!</v>
      </c>
      <c r="C407" s="7">
        <f>100*(LN(Monthly!H407)-LN(Monthly!H406))</f>
        <v>3.0410383256462836E-2</v>
      </c>
      <c r="D407" s="7">
        <v>-0.49917733857125202</v>
      </c>
      <c r="E407" s="7" t="e">
        <f>100*(Monthly!#REF!-Monthly!#REF!)</f>
        <v>#REF!</v>
      </c>
      <c r="F407" s="7" t="e">
        <f>100*(Monthly!#REF!-Monthly!#REF!)</f>
        <v>#REF!</v>
      </c>
      <c r="G407" s="7">
        <v>0</v>
      </c>
    </row>
    <row r="408" spans="1:7" x14ac:dyDescent="0.3">
      <c r="A408" s="4">
        <v>35004</v>
      </c>
      <c r="B408" s="5" t="e">
        <f>Monthly!E408-Monthly!#REF!</f>
        <v>#REF!</v>
      </c>
      <c r="C408" s="7">
        <f>100*(LN(Monthly!H408)-LN(Monthly!H407))</f>
        <v>0.88181692570072912</v>
      </c>
      <c r="D408" s="7">
        <v>4.0228861321351603</v>
      </c>
      <c r="E408" s="7" t="e">
        <f>100*(Monthly!#REF!-Monthly!#REF!)</f>
        <v>#REF!</v>
      </c>
      <c r="F408" s="7" t="e">
        <f>100*(Monthly!#REF!-Monthly!#REF!)</f>
        <v>#REF!</v>
      </c>
      <c r="G408" s="7">
        <v>0</v>
      </c>
    </row>
    <row r="409" spans="1:7" x14ac:dyDescent="0.3">
      <c r="A409" s="4">
        <v>35034</v>
      </c>
      <c r="B409" s="5" t="e">
        <f>Monthly!E409-Monthly!#REF!</f>
        <v>#REF!</v>
      </c>
      <c r="C409" s="7">
        <f>100*(LN(Monthly!H409)-LN(Monthly!H408))</f>
        <v>0.33590113796009291</v>
      </c>
      <c r="D409" s="7">
        <v>1.72934755413949</v>
      </c>
      <c r="E409" s="7" t="e">
        <f>100*(Monthly!#REF!-Monthly!#REF!)</f>
        <v>#REF!</v>
      </c>
      <c r="F409" s="7" t="e">
        <f>100*(Monthly!#REF!-Monthly!#REF!)</f>
        <v>#REF!</v>
      </c>
      <c r="G409" s="7">
        <v>0</v>
      </c>
    </row>
    <row r="410" spans="1:7" x14ac:dyDescent="0.3">
      <c r="A410" s="4">
        <v>35065</v>
      </c>
      <c r="B410" s="5" t="e">
        <f>Monthly!E410-Monthly!#REF!</f>
        <v>#REF!</v>
      </c>
      <c r="C410" s="7">
        <f>100*(LN(Monthly!H410)-LN(Monthly!H409))</f>
        <v>0.92281578856026059</v>
      </c>
      <c r="D410" s="7">
        <v>3.20967312736511</v>
      </c>
      <c r="E410" s="7" t="e">
        <f>100*(Monthly!#REF!-Monthly!#REF!)</f>
        <v>#REF!</v>
      </c>
      <c r="F410" s="7" t="e">
        <f>100*(Monthly!#REF!-Monthly!#REF!)</f>
        <v>#REF!</v>
      </c>
      <c r="G410" s="7">
        <v>0</v>
      </c>
    </row>
    <row r="411" spans="1:7" x14ac:dyDescent="0.3">
      <c r="A411" s="4">
        <v>35096</v>
      </c>
      <c r="B411" s="5" t="e">
        <f>Monthly!E411-Monthly!#REF!</f>
        <v>#REF!</v>
      </c>
      <c r="C411" s="7">
        <f>100*(LN(Monthly!H411)-LN(Monthly!H410))</f>
        <v>0.30645920281830996</v>
      </c>
      <c r="D411" s="7">
        <v>0.69097742152322505</v>
      </c>
      <c r="E411" s="7" t="e">
        <f>100*(Monthly!#REF!-Monthly!#REF!)</f>
        <v>#REF!</v>
      </c>
      <c r="F411" s="7" t="e">
        <f>100*(Monthly!#REF!-Monthly!#REF!)</f>
        <v>#REF!</v>
      </c>
      <c r="G411" s="7">
        <v>0</v>
      </c>
    </row>
    <row r="412" spans="1:7" x14ac:dyDescent="0.3">
      <c r="A412" s="4">
        <v>35125</v>
      </c>
      <c r="B412" s="5" t="e">
        <f>Monthly!E412-Monthly!#REF!</f>
        <v>#REF!</v>
      </c>
      <c r="C412" s="7">
        <f>100*(LN(Monthly!H412)-LN(Monthly!H411))</f>
        <v>0.44705810393708134</v>
      </c>
      <c r="D412" s="7">
        <v>0.78853959763480896</v>
      </c>
      <c r="E412" s="7" t="e">
        <f>100*(Monthly!#REF!-Monthly!#REF!)</f>
        <v>#REF!</v>
      </c>
      <c r="F412" s="7" t="e">
        <f>100*(Monthly!#REF!-Monthly!#REF!)</f>
        <v>#REF!</v>
      </c>
      <c r="G412" s="7">
        <v>0</v>
      </c>
    </row>
    <row r="413" spans="1:7" x14ac:dyDescent="0.3">
      <c r="A413" s="4">
        <v>35156</v>
      </c>
      <c r="B413" s="5" t="e">
        <f>Monthly!E413-Monthly!#REF!</f>
        <v>#REF!</v>
      </c>
      <c r="C413" s="7">
        <f>100*(LN(Monthly!H413)-LN(Monthly!H412))</f>
        <v>0.65684170360800209</v>
      </c>
      <c r="D413" s="7">
        <v>1.33420201057064</v>
      </c>
      <c r="E413" s="7" t="e">
        <f>100*(Monthly!#REF!-Monthly!#REF!)</f>
        <v>#REF!</v>
      </c>
      <c r="F413" s="7" t="e">
        <f>100*(Monthly!#REF!-Monthly!#REF!)</f>
        <v>#REF!</v>
      </c>
      <c r="G413" s="7">
        <v>0</v>
      </c>
    </row>
    <row r="414" spans="1:7" x14ac:dyDescent="0.3">
      <c r="A414" s="4">
        <v>35186</v>
      </c>
      <c r="B414" s="5" t="e">
        <f>Monthly!E414-Monthly!#REF!</f>
        <v>#REF!</v>
      </c>
      <c r="C414" s="7">
        <f>100*(LN(Monthly!H414)-LN(Monthly!H413))</f>
        <v>0.57448193964493299</v>
      </c>
      <c r="D414" s="7">
        <v>2.2596178550500601</v>
      </c>
      <c r="E414" s="7" t="e">
        <f>100*(Monthly!#REF!-Monthly!#REF!)</f>
        <v>#REF!</v>
      </c>
      <c r="F414" s="7" t="e">
        <f>100*(Monthly!#REF!-Monthly!#REF!)</f>
        <v>#REF!</v>
      </c>
      <c r="G414" s="7">
        <v>0</v>
      </c>
    </row>
    <row r="415" spans="1:7" x14ac:dyDescent="0.3">
      <c r="A415" s="4">
        <v>35217</v>
      </c>
      <c r="B415" s="5" t="e">
        <f>Monthly!E415-Monthly!#REF!</f>
        <v>#REF!</v>
      </c>
      <c r="C415" s="7">
        <f>100*(LN(Monthly!H415)-LN(Monthly!H414))</f>
        <v>0.69125017345532669</v>
      </c>
      <c r="D415" s="7">
        <v>0.22541674267919701</v>
      </c>
      <c r="E415" s="7" t="e">
        <f>100*(Monthly!#REF!-Monthly!#REF!)</f>
        <v>#REF!</v>
      </c>
      <c r="F415" s="7" t="e">
        <f>100*(Monthly!#REF!-Monthly!#REF!)</f>
        <v>#REF!</v>
      </c>
      <c r="G415" s="7">
        <v>0</v>
      </c>
    </row>
    <row r="416" spans="1:7" x14ac:dyDescent="0.3">
      <c r="A416" s="4">
        <v>35247</v>
      </c>
      <c r="B416" s="5" t="e">
        <f>Monthly!E416-Monthly!#REF!</f>
        <v>#REF!</v>
      </c>
      <c r="C416" s="7">
        <f>100*(LN(Monthly!H416)-LN(Monthly!H415))</f>
        <v>0.52463987352746599</v>
      </c>
      <c r="D416" s="7">
        <v>-4.6827508992919098</v>
      </c>
      <c r="E416" s="7" t="e">
        <f>100*(Monthly!#REF!-Monthly!#REF!)</f>
        <v>#REF!</v>
      </c>
      <c r="F416" s="7" t="e">
        <f>100*(Monthly!#REF!-Monthly!#REF!)</f>
        <v>#REF!</v>
      </c>
      <c r="G416" s="7">
        <v>1</v>
      </c>
    </row>
    <row r="417" spans="1:7" x14ac:dyDescent="0.3">
      <c r="A417" s="4">
        <v>35278</v>
      </c>
      <c r="B417" s="5" t="e">
        <f>Monthly!E417-Monthly!#REF!</f>
        <v>#REF!</v>
      </c>
      <c r="C417" s="7">
        <f>100*(LN(Monthly!H417)-LN(Monthly!H416))</f>
        <v>0.40119140148151544</v>
      </c>
      <c r="D417" s="7">
        <v>1.86391420307611</v>
      </c>
      <c r="E417" s="7" t="e">
        <f>100*(Monthly!#REF!-Monthly!#REF!)</f>
        <v>#REF!</v>
      </c>
      <c r="F417" s="7" t="e">
        <f>100*(Monthly!#REF!-Monthly!#REF!)</f>
        <v>#REF!</v>
      </c>
      <c r="G417" s="7">
        <v>0</v>
      </c>
    </row>
    <row r="418" spans="1:7" x14ac:dyDescent="0.3">
      <c r="A418" s="4">
        <v>35309</v>
      </c>
      <c r="B418" s="5" t="e">
        <f>Monthly!E418-Monthly!#REF!</f>
        <v>#REF!</v>
      </c>
      <c r="C418" s="7">
        <f>100*(LN(Monthly!H418)-LN(Monthly!H417))</f>
        <v>1.4099811842590348</v>
      </c>
      <c r="D418" s="7">
        <v>5.2785341693076298</v>
      </c>
      <c r="E418" s="7" t="e">
        <f>100*(Monthly!#REF!-Monthly!#REF!)</f>
        <v>#REF!</v>
      </c>
      <c r="F418" s="7" t="e">
        <f>100*(Monthly!#REF!-Monthly!#REF!)</f>
        <v>#REF!</v>
      </c>
      <c r="G418" s="7">
        <v>0</v>
      </c>
    </row>
    <row r="419" spans="1:7" x14ac:dyDescent="0.3">
      <c r="A419" s="4">
        <v>35339</v>
      </c>
      <c r="B419" s="5" t="e">
        <f>Monthly!E419-Monthly!#REF!</f>
        <v>#REF!</v>
      </c>
      <c r="C419" s="7">
        <f>100*(LN(Monthly!H419)-LN(Monthly!H418))</f>
        <v>0.97991736179343647</v>
      </c>
      <c r="D419" s="7">
        <v>2.5766184810720199</v>
      </c>
      <c r="E419" s="7" t="e">
        <f>100*(Monthly!#REF!-Monthly!#REF!)</f>
        <v>#REF!</v>
      </c>
      <c r="F419" s="7" t="e">
        <f>100*(Monthly!#REF!-Monthly!#REF!)</f>
        <v>#REF!</v>
      </c>
      <c r="G419" s="7">
        <v>0</v>
      </c>
    </row>
    <row r="420" spans="1:7" x14ac:dyDescent="0.3">
      <c r="A420" s="4">
        <v>35370</v>
      </c>
      <c r="B420" s="5" t="e">
        <f>Monthly!E420-Monthly!#REF!</f>
        <v>#REF!</v>
      </c>
      <c r="C420" s="7">
        <f>100*(LN(Monthly!H420)-LN(Monthly!H419))</f>
        <v>0.7563944537345435</v>
      </c>
      <c r="D420" s="7">
        <v>7.0808963056546697</v>
      </c>
      <c r="E420" s="7" t="e">
        <f>100*(Monthly!#REF!-Monthly!#REF!)</f>
        <v>#REF!</v>
      </c>
      <c r="F420" s="7" t="e">
        <f>100*(Monthly!#REF!-Monthly!#REF!)</f>
        <v>#REF!</v>
      </c>
      <c r="G420" s="7">
        <v>0</v>
      </c>
    </row>
    <row r="421" spans="1:7" x14ac:dyDescent="0.3">
      <c r="A421" s="4">
        <v>35400</v>
      </c>
      <c r="B421" s="5" t="e">
        <f>Monthly!E421-Monthly!#REF!</f>
        <v>#REF!</v>
      </c>
      <c r="C421" s="7">
        <f>100*(LN(Monthly!H421)-LN(Monthly!H420))</f>
        <v>0.82458974371366622</v>
      </c>
      <c r="D421" s="7">
        <v>-2.17400256201896</v>
      </c>
      <c r="E421" s="7" t="e">
        <f>100*(Monthly!#REF!-Monthly!#REF!)</f>
        <v>#REF!</v>
      </c>
      <c r="F421" s="7" t="e">
        <f>100*(Monthly!#REF!-Monthly!#REF!)</f>
        <v>#REF!</v>
      </c>
      <c r="G421" s="7">
        <v>0</v>
      </c>
    </row>
    <row r="422" spans="1:7" x14ac:dyDescent="0.3">
      <c r="A422" s="4">
        <v>35431</v>
      </c>
      <c r="B422" s="5" t="e">
        <f>Monthly!E422-Monthly!#REF!</f>
        <v>#REF!</v>
      </c>
      <c r="C422" s="7">
        <f>100*(LN(Monthly!H422)-LN(Monthly!H421))</f>
        <v>0.4721991894056643</v>
      </c>
      <c r="D422" s="7">
        <v>5.9510626546169503</v>
      </c>
      <c r="E422" s="7" t="e">
        <f>100*(Monthly!#REF!-Monthly!#REF!)</f>
        <v>#REF!</v>
      </c>
      <c r="F422" s="7" t="e">
        <f>100*(Monthly!#REF!-Monthly!#REF!)</f>
        <v>#REF!</v>
      </c>
      <c r="G422" s="7">
        <v>0</v>
      </c>
    </row>
    <row r="423" spans="1:7" x14ac:dyDescent="0.3">
      <c r="A423" s="4">
        <v>35462</v>
      </c>
      <c r="B423" s="5" t="e">
        <f>Monthly!E423-Monthly!#REF!</f>
        <v>#REF!</v>
      </c>
      <c r="C423" s="7">
        <f>100*(LN(Monthly!H423)-LN(Monthly!H422))</f>
        <v>0.85797651669201613</v>
      </c>
      <c r="D423" s="7">
        <v>0.59100911890560603</v>
      </c>
      <c r="E423" s="7" t="e">
        <f>100*(Monthly!#REF!-Monthly!#REF!)</f>
        <v>#REF!</v>
      </c>
      <c r="F423" s="7" t="e">
        <f>100*(Monthly!#REF!-Monthly!#REF!)</f>
        <v>#REF!</v>
      </c>
      <c r="G423" s="7">
        <v>0</v>
      </c>
    </row>
    <row r="424" spans="1:7" x14ac:dyDescent="0.3">
      <c r="A424" s="4">
        <v>35490</v>
      </c>
      <c r="B424" s="5" t="e">
        <f>Monthly!E424-Monthly!#REF!</f>
        <v>#REF!</v>
      </c>
      <c r="C424" s="7">
        <f>100*(LN(Monthly!H424)-LN(Monthly!H423))</f>
        <v>0.81370857025442334</v>
      </c>
      <c r="D424" s="7">
        <v>-4.3548636182142797</v>
      </c>
      <c r="E424" s="7" t="e">
        <f>100*(Monthly!#REF!-Monthly!#REF!)</f>
        <v>#REF!</v>
      </c>
      <c r="F424" s="7" t="e">
        <f>100*(Monthly!#REF!-Monthly!#REF!)</f>
        <v>#REF!</v>
      </c>
      <c r="G424" s="7">
        <v>0</v>
      </c>
    </row>
    <row r="425" spans="1:7" x14ac:dyDescent="0.3">
      <c r="A425" s="4">
        <v>35521</v>
      </c>
      <c r="B425" s="5" t="e">
        <f>Monthly!E425-Monthly!#REF!</f>
        <v>#REF!</v>
      </c>
      <c r="C425" s="7">
        <f>100*(LN(Monthly!H425)-LN(Monthly!H424))</f>
        <v>1.0537982377511135</v>
      </c>
      <c r="D425" s="7">
        <v>5.6763605032361797</v>
      </c>
      <c r="E425" s="7" t="e">
        <f>100*(Monthly!#REF!-Monthly!#REF!)</f>
        <v>#REF!</v>
      </c>
      <c r="F425" s="7" t="e">
        <f>100*(Monthly!#REF!-Monthly!#REF!)</f>
        <v>#REF!</v>
      </c>
      <c r="G425" s="7">
        <v>1</v>
      </c>
    </row>
    <row r="426" spans="1:7" x14ac:dyDescent="0.3">
      <c r="A426" s="4">
        <v>35551</v>
      </c>
      <c r="B426" s="5" t="e">
        <f>Monthly!E426-Monthly!#REF!</f>
        <v>#REF!</v>
      </c>
      <c r="C426" s="7">
        <f>100*(LN(Monthly!H426)-LN(Monthly!H425))</f>
        <v>0.64105764640860485</v>
      </c>
      <c r="D426" s="7">
        <v>5.6925444574523496</v>
      </c>
      <c r="E426" s="7" t="e">
        <f>100*(Monthly!#REF!-Monthly!#REF!)</f>
        <v>#REF!</v>
      </c>
      <c r="F426" s="7" t="e">
        <f>100*(Monthly!#REF!-Monthly!#REF!)</f>
        <v>#REF!</v>
      </c>
      <c r="G426" s="7">
        <v>0</v>
      </c>
    </row>
    <row r="427" spans="1:7" x14ac:dyDescent="0.3">
      <c r="A427" s="4">
        <v>35582</v>
      </c>
      <c r="B427" s="5" t="e">
        <f>Monthly!E427-Monthly!#REF!</f>
        <v>#REF!</v>
      </c>
      <c r="C427" s="7">
        <f>100*(LN(Monthly!H427)-LN(Monthly!H426))</f>
        <v>0.54547427733799836</v>
      </c>
      <c r="D427" s="7">
        <v>4.2535036628903802</v>
      </c>
      <c r="E427" s="7" t="e">
        <f>100*(Monthly!#REF!-Monthly!#REF!)</f>
        <v>#REF!</v>
      </c>
      <c r="F427" s="7" t="e">
        <f>100*(Monthly!#REF!-Monthly!#REF!)</f>
        <v>#REF!</v>
      </c>
      <c r="G427" s="7">
        <v>0</v>
      </c>
    </row>
    <row r="428" spans="1:7" x14ac:dyDescent="0.3">
      <c r="A428" s="4">
        <v>35612</v>
      </c>
      <c r="B428" s="5" t="e">
        <f>Monthly!E428-Monthly!#REF!</f>
        <v>#REF!</v>
      </c>
      <c r="C428" s="7">
        <f>100*(LN(Monthly!H428)-LN(Monthly!H427))</f>
        <v>0.40665990938393293</v>
      </c>
      <c r="D428" s="7">
        <v>7.5242722558492403</v>
      </c>
      <c r="E428" s="7" t="e">
        <f>100*(Monthly!#REF!-Monthly!#REF!)</f>
        <v>#REF!</v>
      </c>
      <c r="F428" s="7" t="e">
        <f>100*(Monthly!#REF!-Monthly!#REF!)</f>
        <v>#REF!</v>
      </c>
      <c r="G428" s="7">
        <v>0</v>
      </c>
    </row>
    <row r="429" spans="1:7" x14ac:dyDescent="0.3">
      <c r="A429" s="4">
        <v>35643</v>
      </c>
      <c r="B429" s="5" t="e">
        <f>Monthly!E429-Monthly!#REF!</f>
        <v>#REF!</v>
      </c>
      <c r="C429" s="7">
        <f>100*(LN(Monthly!H429)-LN(Monthly!H428))</f>
        <v>0.75661397839397182</v>
      </c>
      <c r="D429" s="7">
        <v>-5.9182895294065103</v>
      </c>
      <c r="E429" s="7" t="e">
        <f>100*(Monthly!#REF!-Monthly!#REF!)</f>
        <v>#REF!</v>
      </c>
      <c r="F429" s="7" t="e">
        <f>100*(Monthly!#REF!-Monthly!#REF!)</f>
        <v>#REF!</v>
      </c>
      <c r="G429" s="7">
        <v>1</v>
      </c>
    </row>
    <row r="430" spans="1:7" x14ac:dyDescent="0.3">
      <c r="A430" s="4">
        <v>35674</v>
      </c>
      <c r="B430" s="5" t="e">
        <f>Monthly!E430-Monthly!#REF!</f>
        <v>#REF!</v>
      </c>
      <c r="C430" s="7">
        <f>100*(LN(Monthly!H430)-LN(Monthly!H429))</f>
        <v>0.89642681595831775</v>
      </c>
      <c r="D430" s="7">
        <v>5.1789082549074896</v>
      </c>
      <c r="E430" s="7" t="e">
        <f>100*(Monthly!#REF!-Monthly!#REF!)</f>
        <v>#REF!</v>
      </c>
      <c r="F430" s="7" t="e">
        <f>100*(Monthly!#REF!-Monthly!#REF!)</f>
        <v>#REF!</v>
      </c>
      <c r="G430" s="7">
        <v>1</v>
      </c>
    </row>
    <row r="431" spans="1:7" x14ac:dyDescent="0.3">
      <c r="A431" s="4">
        <v>35704</v>
      </c>
      <c r="B431" s="5" t="e">
        <f>Monthly!E431-Monthly!#REF!</f>
        <v>#REF!</v>
      </c>
      <c r="C431" s="7">
        <f>100*(LN(Monthly!H431)-LN(Monthly!H430))</f>
        <v>0.49650978693378534</v>
      </c>
      <c r="D431" s="7">
        <v>-3.5086077820773198</v>
      </c>
      <c r="E431" s="7" t="e">
        <f>100*(Monthly!#REF!-Monthly!#REF!)</f>
        <v>#REF!</v>
      </c>
      <c r="F431" s="7" t="e">
        <f>100*(Monthly!#REF!-Monthly!#REF!)</f>
        <v>#REF!</v>
      </c>
      <c r="G431" s="7">
        <v>1</v>
      </c>
    </row>
    <row r="432" spans="1:7" x14ac:dyDescent="0.3">
      <c r="A432" s="4">
        <v>35735</v>
      </c>
      <c r="B432" s="5" t="e">
        <f>Monthly!E432-Monthly!#REF!</f>
        <v>#REF!</v>
      </c>
      <c r="C432" s="7">
        <f>100*(LN(Monthly!H432)-LN(Monthly!H431))</f>
        <v>0.64962530076124736</v>
      </c>
      <c r="D432" s="7">
        <v>4.3621453380327901</v>
      </c>
      <c r="E432" s="7" t="e">
        <f>100*(Monthly!#REF!-Monthly!#REF!)</f>
        <v>#REF!</v>
      </c>
      <c r="F432" s="7" t="e">
        <f>100*(Monthly!#REF!-Monthly!#REF!)</f>
        <v>#REF!</v>
      </c>
      <c r="G432" s="7">
        <v>1</v>
      </c>
    </row>
    <row r="433" spans="1:7" x14ac:dyDescent="0.3">
      <c r="A433" s="4">
        <v>35765</v>
      </c>
      <c r="B433" s="5" t="e">
        <f>Monthly!E433-Monthly!#REF!</f>
        <v>#REF!</v>
      </c>
      <c r="C433" s="7">
        <f>100*(LN(Monthly!H433)-LN(Monthly!H432))</f>
        <v>0.5863614811364215</v>
      </c>
      <c r="D433" s="7">
        <v>1.56091381815246</v>
      </c>
      <c r="E433" s="7" t="e">
        <f>100*(Monthly!#REF!-Monthly!#REF!)</f>
        <v>#REF!</v>
      </c>
      <c r="F433" s="7" t="e">
        <f>100*(Monthly!#REF!-Monthly!#REF!)</f>
        <v>#REF!</v>
      </c>
      <c r="G433" s="7">
        <v>0</v>
      </c>
    </row>
    <row r="434" spans="1:7" x14ac:dyDescent="0.3">
      <c r="A434" s="4">
        <v>35796</v>
      </c>
      <c r="B434" s="5" t="e">
        <f>Monthly!E434-Monthly!#REF!</f>
        <v>#REF!</v>
      </c>
      <c r="C434" s="7">
        <f>100*(LN(Monthly!H434)-LN(Monthly!H433))</f>
        <v>1.2327173741943476</v>
      </c>
      <c r="D434" s="7">
        <v>1.0099010336863401</v>
      </c>
      <c r="E434" s="7" t="e">
        <f>100*(Monthly!#REF!-Monthly!#REF!)</f>
        <v>#REF!</v>
      </c>
      <c r="F434" s="7" t="e">
        <f>100*(Monthly!#REF!-Monthly!#REF!)</f>
        <v>#REF!</v>
      </c>
      <c r="G434" s="7">
        <v>1</v>
      </c>
    </row>
    <row r="435" spans="1:7" x14ac:dyDescent="0.3">
      <c r="A435" s="4">
        <v>35827</v>
      </c>
      <c r="B435" s="5" t="e">
        <f>Monthly!E435-Monthly!#REF!</f>
        <v>#REF!</v>
      </c>
      <c r="C435" s="7">
        <f>100*(LN(Monthly!H435)-LN(Monthly!H434))</f>
        <v>0.78980844329743505</v>
      </c>
      <c r="D435" s="7">
        <v>6.8078366488587596</v>
      </c>
      <c r="E435" s="7" t="e">
        <f>100*(Monthly!#REF!-Monthly!#REF!)</f>
        <v>#REF!</v>
      </c>
      <c r="F435" s="7" t="e">
        <f>100*(Monthly!#REF!-Monthly!#REF!)</f>
        <v>#REF!</v>
      </c>
      <c r="G435" s="7">
        <v>0</v>
      </c>
    </row>
    <row r="436" spans="1:7" x14ac:dyDescent="0.3">
      <c r="A436" s="4">
        <v>35855</v>
      </c>
      <c r="B436" s="5" t="e">
        <f>Monthly!E436-Monthly!#REF!</f>
        <v>#REF!</v>
      </c>
      <c r="C436" s="7">
        <f>100*(LN(Monthly!H436)-LN(Monthly!H435))</f>
        <v>0.42852156874078062</v>
      </c>
      <c r="D436" s="7">
        <v>4.8738462205499404</v>
      </c>
      <c r="E436" s="7" t="e">
        <f>100*(Monthly!#REF!-Monthly!#REF!)</f>
        <v>#REF!</v>
      </c>
      <c r="F436" s="7" t="e">
        <f>100*(Monthly!#REF!-Monthly!#REF!)</f>
        <v>#REF!</v>
      </c>
      <c r="G436" s="7">
        <v>0</v>
      </c>
    </row>
    <row r="437" spans="1:7" x14ac:dyDescent="0.3">
      <c r="A437" s="4">
        <v>35886</v>
      </c>
      <c r="B437" s="5" t="e">
        <f>Monthly!E437-Monthly!#REF!</f>
        <v>#REF!</v>
      </c>
      <c r="C437" s="7">
        <f>100*(LN(Monthly!H437)-LN(Monthly!H436))</f>
        <v>-0.17349306564860001</v>
      </c>
      <c r="D437" s="7">
        <v>0.90355256687094399</v>
      </c>
      <c r="E437" s="7" t="e">
        <f>100*(Monthly!#REF!-Monthly!#REF!)</f>
        <v>#REF!</v>
      </c>
      <c r="F437" s="7" t="e">
        <f>100*(Monthly!#REF!-Monthly!#REF!)</f>
        <v>#REF!</v>
      </c>
      <c r="G437" s="7">
        <v>0</v>
      </c>
    </row>
    <row r="438" spans="1:7" x14ac:dyDescent="0.3">
      <c r="A438" s="4">
        <v>35916</v>
      </c>
      <c r="B438" s="5" t="e">
        <f>Monthly!E438-Monthly!#REF!</f>
        <v>#REF!</v>
      </c>
      <c r="C438" s="7">
        <f>100*(LN(Monthly!H438)-LN(Monthly!H437))</f>
        <v>1.3049980981564069</v>
      </c>
      <c r="D438" s="7">
        <v>-1.90056926596579</v>
      </c>
      <c r="E438" s="7" t="e">
        <f>100*(Monthly!#REF!-Monthly!#REF!)</f>
        <v>#REF!</v>
      </c>
      <c r="F438" s="7" t="e">
        <f>100*(Monthly!#REF!-Monthly!#REF!)</f>
        <v>#REF!</v>
      </c>
      <c r="G438" s="7">
        <v>0</v>
      </c>
    </row>
    <row r="439" spans="1:7" x14ac:dyDescent="0.3">
      <c r="A439" s="4">
        <v>35947</v>
      </c>
      <c r="B439" s="5" t="e">
        <f>Monthly!E439-Monthly!#REF!</f>
        <v>#REF!</v>
      </c>
      <c r="C439" s="7">
        <f>100*(LN(Monthly!H439)-LN(Monthly!H438))</f>
        <v>1.7544240137470801</v>
      </c>
      <c r="D439" s="7">
        <v>3.8680413982430299</v>
      </c>
      <c r="E439" s="7" t="e">
        <f>100*(Monthly!#REF!-Monthly!#REF!)</f>
        <v>#REF!</v>
      </c>
      <c r="F439" s="7" t="e">
        <f>100*(Monthly!#REF!-Monthly!#REF!)</f>
        <v>#REF!</v>
      </c>
      <c r="G439" s="7">
        <v>0</v>
      </c>
    </row>
    <row r="440" spans="1:7" x14ac:dyDescent="0.3">
      <c r="A440" s="4">
        <v>35977</v>
      </c>
      <c r="B440" s="5" t="e">
        <f>Monthly!E440-Monthly!#REF!</f>
        <v>#REF!</v>
      </c>
      <c r="C440" s="7">
        <f>100*(LN(Monthly!H440)-LN(Monthly!H439))</f>
        <v>0.7502281681014189</v>
      </c>
      <c r="D440" s="7">
        <v>-1.16833117841352</v>
      </c>
      <c r="E440" s="7" t="e">
        <f>100*(Monthly!#REF!-Monthly!#REF!)</f>
        <v>#REF!</v>
      </c>
      <c r="F440" s="7" t="e">
        <f>100*(Monthly!#REF!-Monthly!#REF!)</f>
        <v>#REF!</v>
      </c>
      <c r="G440" s="7">
        <v>0</v>
      </c>
    </row>
    <row r="441" spans="1:7" x14ac:dyDescent="0.3">
      <c r="A441" s="4">
        <v>36008</v>
      </c>
      <c r="B441" s="5" t="e">
        <f>Monthly!E441-Monthly!#REF!</f>
        <v>#REF!</v>
      </c>
      <c r="C441" s="7">
        <f>100*(LN(Monthly!H441)-LN(Monthly!H440))</f>
        <v>0.72092593644974556</v>
      </c>
      <c r="D441" s="7">
        <v>-15.7586078683431</v>
      </c>
      <c r="E441" s="7" t="e">
        <f>100*(Monthly!#REF!-Monthly!#REF!)</f>
        <v>#REF!</v>
      </c>
      <c r="F441" s="7" t="e">
        <f>100*(Monthly!#REF!-Monthly!#REF!)</f>
        <v>#REF!</v>
      </c>
      <c r="G441" s="7">
        <v>1</v>
      </c>
    </row>
    <row r="442" spans="1:7" x14ac:dyDescent="0.3">
      <c r="A442" s="4">
        <v>36039</v>
      </c>
      <c r="B442" s="5" t="e">
        <f>Monthly!E442-Monthly!#REF!</f>
        <v>#REF!</v>
      </c>
      <c r="C442" s="7">
        <f>100*(LN(Monthly!H442)-LN(Monthly!H441))</f>
        <v>0.93252498500921988</v>
      </c>
      <c r="D442" s="7">
        <v>6.0526278198187704</v>
      </c>
      <c r="E442" s="7" t="e">
        <f>100*(Monthly!#REF!-Monthly!#REF!)</f>
        <v>#REF!</v>
      </c>
      <c r="F442" s="7" t="e">
        <f>100*(Monthly!#REF!-Monthly!#REF!)</f>
        <v>#REF!</v>
      </c>
      <c r="G442" s="7">
        <v>1</v>
      </c>
    </row>
    <row r="443" spans="1:7" x14ac:dyDescent="0.3">
      <c r="A443" s="4">
        <v>36069</v>
      </c>
      <c r="B443" s="5" t="e">
        <f>Monthly!E443-Monthly!#REF!</f>
        <v>#REF!</v>
      </c>
      <c r="C443" s="7">
        <f>100*(LN(Monthly!H443)-LN(Monthly!H442))</f>
        <v>2.0901922807352591</v>
      </c>
      <c r="D443" s="7">
        <v>7.72334378916789</v>
      </c>
      <c r="E443" s="7" t="e">
        <f>100*(Monthly!#REF!-Monthly!#REF!)</f>
        <v>#REF!</v>
      </c>
      <c r="F443" s="7" t="e">
        <f>100*(Monthly!#REF!-Monthly!#REF!)</f>
        <v>#REF!</v>
      </c>
      <c r="G443" s="7">
        <v>1</v>
      </c>
    </row>
    <row r="444" spans="1:7" x14ac:dyDescent="0.3">
      <c r="A444" s="4">
        <v>36100</v>
      </c>
      <c r="B444" s="5" t="e">
        <f>Monthly!E444-Monthly!#REF!</f>
        <v>#REF!</v>
      </c>
      <c r="C444" s="7">
        <f>100*(LN(Monthly!H444)-LN(Monthly!H443))</f>
        <v>1.0803766158753447</v>
      </c>
      <c r="D444" s="7">
        <v>5.7444036204696198</v>
      </c>
      <c r="E444" s="7" t="e">
        <f>100*(Monthly!#REF!-Monthly!#REF!)</f>
        <v>#REF!</v>
      </c>
      <c r="F444" s="7" t="e">
        <f>100*(Monthly!#REF!-Monthly!#REF!)</f>
        <v>#REF!</v>
      </c>
      <c r="G444" s="7">
        <v>0</v>
      </c>
    </row>
    <row r="445" spans="1:7" x14ac:dyDescent="0.3">
      <c r="A445" s="4">
        <v>36130</v>
      </c>
      <c r="B445" s="5" t="e">
        <f>Monthly!E445-Monthly!#REF!</f>
        <v>#REF!</v>
      </c>
      <c r="C445" s="7">
        <f>100*(LN(Monthly!H445)-LN(Monthly!H444))</f>
        <v>-0.36624726270755303</v>
      </c>
      <c r="D445" s="7">
        <v>5.4843507646719001</v>
      </c>
      <c r="E445" s="7" t="e">
        <f>100*(Monthly!#REF!-Monthly!#REF!)</f>
        <v>#REF!</v>
      </c>
      <c r="F445" s="7" t="e">
        <f>100*(Monthly!#REF!-Monthly!#REF!)</f>
        <v>#REF!</v>
      </c>
      <c r="G445" s="7">
        <v>1</v>
      </c>
    </row>
    <row r="446" spans="1:7" x14ac:dyDescent="0.3">
      <c r="A446" s="4">
        <v>36161</v>
      </c>
      <c r="B446" s="5" t="e">
        <f>Monthly!E446-Monthly!#REF!</f>
        <v>#REF!</v>
      </c>
      <c r="C446" s="7">
        <f>100*(LN(Monthly!H446)-LN(Monthly!H445))</f>
        <v>-0.14759645215960404</v>
      </c>
      <c r="D446" s="7">
        <v>4.0190858615482199</v>
      </c>
      <c r="E446" s="7" t="e">
        <f>100*(Monthly!#REF!-Monthly!#REF!)</f>
        <v>#REF!</v>
      </c>
      <c r="F446" s="7" t="e">
        <f>100*(Monthly!#REF!-Monthly!#REF!)</f>
        <v>#REF!</v>
      </c>
      <c r="G446" s="7">
        <v>1</v>
      </c>
    </row>
    <row r="447" spans="1:7" x14ac:dyDescent="0.3">
      <c r="A447" s="4">
        <v>36192</v>
      </c>
      <c r="B447" s="5" t="e">
        <f>Monthly!E447-Monthly!#REF!</f>
        <v>#REF!</v>
      </c>
      <c r="C447" s="7">
        <f>100*(LN(Monthly!H447)-LN(Monthly!H446))</f>
        <v>-0.19103877171025019</v>
      </c>
      <c r="D447" s="7">
        <v>-3.2815137600251401</v>
      </c>
      <c r="E447" s="7" t="e">
        <f>100*(Monthly!#REF!-Monthly!#REF!)</f>
        <v>#REF!</v>
      </c>
      <c r="F447" s="7" t="e">
        <f>100*(Monthly!#REF!-Monthly!#REF!)</f>
        <v>#REF!</v>
      </c>
      <c r="G447" s="7">
        <v>1</v>
      </c>
    </row>
    <row r="448" spans="1:7" x14ac:dyDescent="0.3">
      <c r="A448" s="4">
        <v>36220</v>
      </c>
      <c r="B448" s="5" t="e">
        <f>Monthly!E448-Monthly!#REF!</f>
        <v>#REF!</v>
      </c>
      <c r="C448" s="7">
        <f>100*(LN(Monthly!H448)-LN(Monthly!H447))</f>
        <v>0.91700341520422057</v>
      </c>
      <c r="D448" s="7">
        <v>3.80606322589118</v>
      </c>
      <c r="E448" s="7" t="e">
        <f>100*(Monthly!#REF!-Monthly!#REF!)</f>
        <v>#REF!</v>
      </c>
      <c r="F448" s="7" t="e">
        <f>100*(Monthly!#REF!-Monthly!#REF!)</f>
        <v>#REF!</v>
      </c>
      <c r="G448" s="7">
        <v>1</v>
      </c>
    </row>
    <row r="449" spans="1:7" x14ac:dyDescent="0.3">
      <c r="A449" s="4">
        <v>36251</v>
      </c>
      <c r="B449" s="5" t="e">
        <f>Monthly!E449-Monthly!#REF!</f>
        <v>#REF!</v>
      </c>
      <c r="C449" s="7">
        <f>100*(LN(Monthly!H449)-LN(Monthly!H448))</f>
        <v>0.31201923313242119</v>
      </c>
      <c r="D449" s="7">
        <v>3.7241859972130702</v>
      </c>
      <c r="E449" s="7" t="e">
        <f>100*(Monthly!#REF!-Monthly!#REF!)</f>
        <v>#REF!</v>
      </c>
      <c r="F449" s="7" t="e">
        <f>100*(Monthly!#REF!-Monthly!#REF!)</f>
        <v>#REF!</v>
      </c>
      <c r="G449" s="7">
        <v>1</v>
      </c>
    </row>
    <row r="450" spans="1:7" x14ac:dyDescent="0.3">
      <c r="A450" s="4">
        <v>36281</v>
      </c>
      <c r="B450" s="5" t="e">
        <f>Monthly!E450-Monthly!#REF!</f>
        <v>#REF!</v>
      </c>
      <c r="C450" s="7">
        <f>100*(LN(Monthly!H450)-LN(Monthly!H449))</f>
        <v>-0.54057052523512894</v>
      </c>
      <c r="D450" s="7">
        <v>-2.5287532336114902</v>
      </c>
      <c r="E450" s="7" t="e">
        <f>100*(Monthly!#REF!-Monthly!#REF!)</f>
        <v>#REF!</v>
      </c>
      <c r="F450" s="7" t="e">
        <f>100*(Monthly!#REF!-Monthly!#REF!)</f>
        <v>#REF!</v>
      </c>
      <c r="G450" s="7">
        <v>1</v>
      </c>
    </row>
    <row r="451" spans="1:7" x14ac:dyDescent="0.3">
      <c r="A451" s="4">
        <v>36312</v>
      </c>
      <c r="B451" s="5" t="e">
        <f>Monthly!E451-Monthly!#REF!</f>
        <v>#REF!</v>
      </c>
      <c r="C451" s="7">
        <f>100*(LN(Monthly!H451)-LN(Monthly!H450))</f>
        <v>0.8163128547827192</v>
      </c>
      <c r="D451" s="7">
        <v>5.3008237590088001</v>
      </c>
      <c r="E451" s="7" t="e">
        <f>100*(Monthly!#REF!-Monthly!#REF!)</f>
        <v>#REF!</v>
      </c>
      <c r="F451" s="7" t="e">
        <f>100*(Monthly!#REF!-Monthly!#REF!)</f>
        <v>#REF!</v>
      </c>
      <c r="G451" s="7">
        <v>1</v>
      </c>
    </row>
    <row r="452" spans="1:7" x14ac:dyDescent="0.3">
      <c r="A452" s="4">
        <v>36342</v>
      </c>
      <c r="B452" s="5" t="e">
        <f>Monthly!E452-Monthly!#REF!</f>
        <v>#REF!</v>
      </c>
      <c r="C452" s="7">
        <f>100*(LN(Monthly!H452)-LN(Monthly!H451))</f>
        <v>0.92596674678420143</v>
      </c>
      <c r="D452" s="7">
        <v>-3.25708089457425</v>
      </c>
      <c r="E452" s="7" t="e">
        <f>100*(Monthly!#REF!-Monthly!#REF!)</f>
        <v>#REF!</v>
      </c>
      <c r="F452" s="7" t="e">
        <f>100*(Monthly!#REF!-Monthly!#REF!)</f>
        <v>#REF!</v>
      </c>
      <c r="G452" s="7">
        <v>0</v>
      </c>
    </row>
    <row r="453" spans="1:7" x14ac:dyDescent="0.3">
      <c r="A453" s="4">
        <v>36373</v>
      </c>
      <c r="B453" s="5" t="e">
        <f>Monthly!E453-Monthly!#REF!</f>
        <v>#REF!</v>
      </c>
      <c r="C453" s="7">
        <f>100*(LN(Monthly!H453)-LN(Monthly!H452))</f>
        <v>1.1143678278404678</v>
      </c>
      <c r="D453" s="7">
        <v>-0.62737304431889795</v>
      </c>
      <c r="E453" s="7" t="e">
        <f>100*(Monthly!#REF!-Monthly!#REF!)</f>
        <v>#REF!</v>
      </c>
      <c r="F453" s="7" t="e">
        <f>100*(Monthly!#REF!-Monthly!#REF!)</f>
        <v>#REF!</v>
      </c>
      <c r="G453" s="7">
        <v>1</v>
      </c>
    </row>
    <row r="454" spans="1:7" x14ac:dyDescent="0.3">
      <c r="A454" s="4">
        <v>36404</v>
      </c>
      <c r="B454" s="5" t="e">
        <f>Monthly!E454-Monthly!#REF!</f>
        <v>#REF!</v>
      </c>
      <c r="C454" s="7">
        <f>100*(LN(Monthly!H454)-LN(Monthly!H453))</f>
        <v>0.64361494235622985</v>
      </c>
      <c r="D454" s="7">
        <v>-2.89673234211002</v>
      </c>
      <c r="E454" s="7" t="e">
        <f>100*(Monthly!#REF!-Monthly!#REF!)</f>
        <v>#REF!</v>
      </c>
      <c r="F454" s="7" t="e">
        <f>100*(Monthly!#REF!-Monthly!#REF!)</f>
        <v>#REF!</v>
      </c>
      <c r="G454" s="7">
        <v>1</v>
      </c>
    </row>
    <row r="455" spans="1:7" x14ac:dyDescent="0.3">
      <c r="A455" s="4">
        <v>36434</v>
      </c>
      <c r="B455" s="5" t="e">
        <f>Monthly!E455-Monthly!#REF!</f>
        <v>#REF!</v>
      </c>
      <c r="C455" s="7">
        <f>100*(LN(Monthly!H455)-LN(Monthly!H454))</f>
        <v>0.35384826556432714</v>
      </c>
      <c r="D455" s="7">
        <v>6.0661836608553097</v>
      </c>
      <c r="E455" s="7" t="e">
        <f>100*(Monthly!#REF!-Monthly!#REF!)</f>
        <v>#REF!</v>
      </c>
      <c r="F455" s="7" t="e">
        <f>100*(Monthly!#REF!-Monthly!#REF!)</f>
        <v>#REF!</v>
      </c>
      <c r="G455" s="7">
        <v>1</v>
      </c>
    </row>
    <row r="456" spans="1:7" x14ac:dyDescent="0.3">
      <c r="A456" s="4">
        <v>36465</v>
      </c>
      <c r="B456" s="5" t="e">
        <f>Monthly!E456-Monthly!#REF!</f>
        <v>#REF!</v>
      </c>
      <c r="C456" s="7">
        <f>100*(LN(Monthly!H456)-LN(Monthly!H455))</f>
        <v>2.1421788339939241</v>
      </c>
      <c r="D456" s="7">
        <v>1.88824579615932</v>
      </c>
      <c r="E456" s="7" t="e">
        <f>100*(Monthly!#REF!-Monthly!#REF!)</f>
        <v>#REF!</v>
      </c>
      <c r="F456" s="7" t="e">
        <f>100*(Monthly!#REF!-Monthly!#REF!)</f>
        <v>#REF!</v>
      </c>
      <c r="G456" s="7">
        <v>0</v>
      </c>
    </row>
    <row r="457" spans="1:7" x14ac:dyDescent="0.3">
      <c r="A457" s="4">
        <v>36495</v>
      </c>
      <c r="B457" s="5" t="e">
        <f>Monthly!E457-Monthly!#REF!</f>
        <v>#REF!</v>
      </c>
      <c r="C457" s="7">
        <f>100*(LN(Monthly!H457)-LN(Monthly!H456))</f>
        <v>3.238508371357085E-2</v>
      </c>
      <c r="D457" s="7">
        <v>5.6232775045104901</v>
      </c>
      <c r="E457" s="7" t="e">
        <f>100*(Monthly!#REF!-Monthly!#REF!)</f>
        <v>#REF!</v>
      </c>
      <c r="F457" s="7" t="e">
        <f>100*(Monthly!#REF!-Monthly!#REF!)</f>
        <v>#REF!</v>
      </c>
      <c r="G457" s="7">
        <v>0</v>
      </c>
    </row>
    <row r="458" spans="1:7" x14ac:dyDescent="0.3">
      <c r="A458" s="4">
        <v>36526</v>
      </c>
      <c r="B458" s="5" t="e">
        <f>Monthly!E458-Monthly!#REF!</f>
        <v>#REF!</v>
      </c>
      <c r="C458" s="7">
        <f>100*(LN(Monthly!H458)-LN(Monthly!H457))</f>
        <v>0.2520848529630193</v>
      </c>
      <c r="D458" s="7">
        <v>-5.2244850965419998</v>
      </c>
      <c r="E458" s="7" t="e">
        <f>100*(Monthly!#REF!-Monthly!#REF!)</f>
        <v>#REF!</v>
      </c>
      <c r="F458" s="7" t="e">
        <f>100*(Monthly!#REF!-Monthly!#REF!)</f>
        <v>#REF!</v>
      </c>
      <c r="G458" s="7">
        <v>1</v>
      </c>
    </row>
    <row r="459" spans="1:7" x14ac:dyDescent="0.3">
      <c r="A459" s="4">
        <v>36557</v>
      </c>
      <c r="B459" s="5" t="e">
        <f>Monthly!E459-Monthly!#REF!</f>
        <v>#REF!</v>
      </c>
      <c r="C459" s="7">
        <f>100*(LN(Monthly!H459)-LN(Monthly!H458))</f>
        <v>1.2965794928526897</v>
      </c>
      <c r="D459" s="7">
        <v>-2.03130024369014</v>
      </c>
      <c r="E459" s="7" t="e">
        <f>100*(Monthly!#REF!-Monthly!#REF!)</f>
        <v>#REF!</v>
      </c>
      <c r="F459" s="7" t="e">
        <f>100*(Monthly!#REF!-Monthly!#REF!)</f>
        <v>#REF!</v>
      </c>
      <c r="G459" s="7">
        <v>1</v>
      </c>
    </row>
    <row r="460" spans="1:7" x14ac:dyDescent="0.3">
      <c r="A460" s="4">
        <v>36586</v>
      </c>
      <c r="B460" s="5" t="e">
        <f>Monthly!E460-Monthly!#REF!</f>
        <v>#REF!</v>
      </c>
      <c r="C460" s="7">
        <f>100*(LN(Monthly!H460)-LN(Monthly!H459))</f>
        <v>0.97941468877440485</v>
      </c>
      <c r="D460" s="7">
        <v>9.2323750636676607</v>
      </c>
      <c r="E460" s="7" t="e">
        <f>100*(Monthly!#REF!-Monthly!#REF!)</f>
        <v>#REF!</v>
      </c>
      <c r="F460" s="7" t="e">
        <f>100*(Monthly!#REF!-Monthly!#REF!)</f>
        <v>#REF!</v>
      </c>
      <c r="G460" s="7">
        <v>1</v>
      </c>
    </row>
    <row r="461" spans="1:7" x14ac:dyDescent="0.3">
      <c r="A461" s="4">
        <v>36617</v>
      </c>
      <c r="B461" s="5" t="e">
        <f>Monthly!E461-Monthly!#REF!</f>
        <v>#REF!</v>
      </c>
      <c r="C461" s="7">
        <f>100*(LN(Monthly!H461)-LN(Monthly!H460))</f>
        <v>0.86970509199453261</v>
      </c>
      <c r="D461" s="7">
        <v>-3.12799109533902</v>
      </c>
      <c r="E461" s="7" t="e">
        <f>100*(Monthly!#REF!-Monthly!#REF!)</f>
        <v>#REF!</v>
      </c>
      <c r="F461" s="7" t="e">
        <f>100*(Monthly!#REF!-Monthly!#REF!)</f>
        <v>#REF!</v>
      </c>
      <c r="G461" s="7">
        <v>1</v>
      </c>
    </row>
    <row r="462" spans="1:7" x14ac:dyDescent="0.3">
      <c r="A462" s="4">
        <v>36647</v>
      </c>
      <c r="B462" s="5" t="e">
        <f>Monthly!E462-Monthly!#REF!</f>
        <v>#REF!</v>
      </c>
      <c r="C462" s="7">
        <f>100*(LN(Monthly!H462)-LN(Monthly!H461))</f>
        <v>1.5892371401616145</v>
      </c>
      <c r="D462" s="7">
        <v>-2.2158752395755501</v>
      </c>
      <c r="E462" s="7" t="e">
        <f>100*(Monthly!#REF!-Monthly!#REF!)</f>
        <v>#REF!</v>
      </c>
      <c r="F462" s="7" t="e">
        <f>100*(Monthly!#REF!-Monthly!#REF!)</f>
        <v>#REF!</v>
      </c>
      <c r="G462" s="7">
        <v>1</v>
      </c>
    </row>
    <row r="463" spans="1:7" x14ac:dyDescent="0.3">
      <c r="A463" s="4">
        <v>36678</v>
      </c>
      <c r="B463" s="5" t="e">
        <f>Monthly!E463-Monthly!#REF!</f>
        <v>#REF!</v>
      </c>
      <c r="C463" s="7">
        <f>100*(LN(Monthly!H463)-LN(Monthly!H462))</f>
        <v>1.0374232367542646</v>
      </c>
      <c r="D463" s="7">
        <v>2.3651631558432298</v>
      </c>
      <c r="E463" s="7" t="e">
        <f>100*(Monthly!#REF!-Monthly!#REF!)</f>
        <v>#REF!</v>
      </c>
      <c r="F463" s="7" t="e">
        <f>100*(Monthly!#REF!-Monthly!#REF!)</f>
        <v>#REF!</v>
      </c>
      <c r="G463" s="7">
        <v>1</v>
      </c>
    </row>
    <row r="464" spans="1:7" x14ac:dyDescent="0.3">
      <c r="A464" s="4">
        <v>36708</v>
      </c>
      <c r="B464" s="5" t="e">
        <f>Monthly!E464-Monthly!#REF!</f>
        <v>#REF!</v>
      </c>
      <c r="C464" s="7">
        <f>100*(LN(Monthly!H464)-LN(Monthly!H463))</f>
        <v>0.55189313489147906</v>
      </c>
      <c r="D464" s="7">
        <v>-1.6476267193485199</v>
      </c>
      <c r="E464" s="7" t="e">
        <f>100*(Monthly!#REF!-Monthly!#REF!)</f>
        <v>#REF!</v>
      </c>
      <c r="F464" s="7" t="e">
        <f>100*(Monthly!#REF!-Monthly!#REF!)</f>
        <v>#REF!</v>
      </c>
      <c r="G464" s="7">
        <v>1</v>
      </c>
    </row>
    <row r="465" spans="1:7" x14ac:dyDescent="0.3">
      <c r="A465" s="4">
        <v>36739</v>
      </c>
      <c r="B465" s="5" t="e">
        <f>Monthly!E465-Monthly!#REF!</f>
        <v>#REF!</v>
      </c>
      <c r="C465" s="7">
        <f>100*(LN(Monthly!H465)-LN(Monthly!H464))</f>
        <v>0.29853239647446017</v>
      </c>
      <c r="D465" s="7">
        <v>5.89282236915325</v>
      </c>
      <c r="E465" s="7" t="e">
        <f>100*(Monthly!#REF!-Monthly!#REF!)</f>
        <v>#REF!</v>
      </c>
      <c r="F465" s="7" t="e">
        <f>100*(Monthly!#REF!-Monthly!#REF!)</f>
        <v>#REF!</v>
      </c>
      <c r="G465" s="7">
        <v>0</v>
      </c>
    </row>
    <row r="466" spans="1:7" x14ac:dyDescent="0.3">
      <c r="A466" s="4">
        <v>36770</v>
      </c>
      <c r="B466" s="5" t="e">
        <f>Monthly!E466-Monthly!#REF!</f>
        <v>#REF!</v>
      </c>
      <c r="C466" s="7">
        <f>100*(LN(Monthly!H466)-LN(Monthly!H465))</f>
        <v>0.13938338312016185</v>
      </c>
      <c r="D466" s="7">
        <v>-5.4966320876747403</v>
      </c>
      <c r="E466" s="7" t="e">
        <f>100*(Monthly!#REF!-Monthly!#REF!)</f>
        <v>#REF!</v>
      </c>
      <c r="F466" s="7" t="e">
        <f>100*(Monthly!#REF!-Monthly!#REF!)</f>
        <v>#REF!</v>
      </c>
      <c r="G466" s="7">
        <v>0</v>
      </c>
    </row>
    <row r="467" spans="1:7" x14ac:dyDescent="0.3">
      <c r="A467" s="4">
        <v>36800</v>
      </c>
      <c r="B467" s="5" t="e">
        <f>Monthly!E467-Monthly!#REF!</f>
        <v>#REF!</v>
      </c>
      <c r="C467" s="7">
        <f>100*(LN(Monthly!H467)-LN(Monthly!H466))</f>
        <v>0.51145901435525332</v>
      </c>
      <c r="D467" s="7">
        <v>-0.49617746918859101</v>
      </c>
      <c r="E467" s="7" t="e">
        <f>100*(Monthly!#REF!-Monthly!#REF!)</f>
        <v>#REF!</v>
      </c>
      <c r="F467" s="7" t="e">
        <f>100*(Monthly!#REF!-Monthly!#REF!)</f>
        <v>#REF!</v>
      </c>
      <c r="G467" s="7">
        <v>1</v>
      </c>
    </row>
    <row r="468" spans="1:7" x14ac:dyDescent="0.3">
      <c r="A468" s="4">
        <v>36831</v>
      </c>
      <c r="B468" s="5" t="e">
        <f>Monthly!E468-Monthly!#REF!</f>
        <v>#REF!</v>
      </c>
      <c r="C468" s="7">
        <f>100*(LN(Monthly!H468)-LN(Monthly!H467))</f>
        <v>0.16030411935954447</v>
      </c>
      <c r="D468" s="7">
        <v>-8.3456187923590992</v>
      </c>
      <c r="E468" s="7" t="e">
        <f>100*(Monthly!#REF!-Monthly!#REF!)</f>
        <v>#REF!</v>
      </c>
      <c r="F468" s="7" t="e">
        <f>100*(Monthly!#REF!-Monthly!#REF!)</f>
        <v>#REF!</v>
      </c>
      <c r="G468" s="7">
        <v>1</v>
      </c>
    </row>
    <row r="469" spans="1:7" x14ac:dyDescent="0.3">
      <c r="A469" s="4">
        <v>36861</v>
      </c>
      <c r="B469" s="5" t="e">
        <f>Monthly!E469-Monthly!#REF!</f>
        <v>#REF!</v>
      </c>
      <c r="C469" s="7">
        <f>100*(LN(Monthly!H469)-LN(Monthly!H468))</f>
        <v>0.40023876539301284</v>
      </c>
      <c r="D469" s="7">
        <v>0.40452525456847699</v>
      </c>
      <c r="E469" s="7" t="e">
        <f>100*(Monthly!#REF!-Monthly!#REF!)</f>
        <v>#REF!</v>
      </c>
      <c r="F469" s="7" t="e">
        <f>100*(Monthly!#REF!-Monthly!#REF!)</f>
        <v>#REF!</v>
      </c>
      <c r="G469" s="7">
        <v>1</v>
      </c>
    </row>
    <row r="470" spans="1:7" x14ac:dyDescent="0.3">
      <c r="A470" s="4">
        <v>36892</v>
      </c>
      <c r="B470" s="5" t="e">
        <f>Monthly!E470-Monthly!#REF!</f>
        <v>#REF!</v>
      </c>
      <c r="C470" s="7">
        <f>100*(LN(Monthly!H470)-LN(Monthly!H469))</f>
        <v>0.80043117033490319</v>
      </c>
      <c r="D470" s="7">
        <v>3.4050231409260898</v>
      </c>
      <c r="E470" s="7" t="e">
        <f>100*(Monthly!#REF!-Monthly!#REF!)</f>
        <v>#REF!</v>
      </c>
      <c r="F470" s="7" t="e">
        <f>100*(Monthly!#REF!-Monthly!#REF!)</f>
        <v>#REF!</v>
      </c>
      <c r="G470" s="7">
        <v>1</v>
      </c>
    </row>
    <row r="471" spans="1:7" x14ac:dyDescent="0.3">
      <c r="A471" s="4">
        <v>36923</v>
      </c>
      <c r="B471" s="5" t="e">
        <f>Monthly!E471-Monthly!#REF!</f>
        <v>#REF!</v>
      </c>
      <c r="C471" s="7">
        <f>100*(LN(Monthly!H471)-LN(Monthly!H470))</f>
        <v>2.1412910201412672E-2</v>
      </c>
      <c r="D471" s="7">
        <v>-9.6831144820867294</v>
      </c>
      <c r="E471" s="7" t="e">
        <f>100*(Monthly!#REF!-Monthly!#REF!)</f>
        <v>#REF!</v>
      </c>
      <c r="F471" s="7" t="e">
        <f>100*(Monthly!#REF!-Monthly!#REF!)</f>
        <v>#REF!</v>
      </c>
      <c r="G471" s="7">
        <v>1</v>
      </c>
    </row>
    <row r="472" spans="1:7" x14ac:dyDescent="0.3">
      <c r="A472" s="4">
        <v>36951</v>
      </c>
      <c r="B472" s="5" t="e">
        <f>Monthly!E472-Monthly!#REF!</f>
        <v>#REF!</v>
      </c>
      <c r="C472" s="7">
        <f>100*(LN(Monthly!H472)-LN(Monthly!H471))</f>
        <v>-0.15118615831868354</v>
      </c>
      <c r="D472" s="7">
        <v>-6.6358534547935797</v>
      </c>
      <c r="E472" s="7" t="e">
        <f>100*(Monthly!#REF!-Monthly!#REF!)</f>
        <v>#REF!</v>
      </c>
      <c r="F472" s="7" t="e">
        <f>100*(Monthly!#REF!-Monthly!#REF!)</f>
        <v>#REF!</v>
      </c>
      <c r="G472" s="7">
        <v>1</v>
      </c>
    </row>
    <row r="473" spans="1:7" x14ac:dyDescent="0.3">
      <c r="A473" s="4">
        <v>36982</v>
      </c>
      <c r="B473" s="5" t="e">
        <f>Monthly!E473-Monthly!#REF!</f>
        <v>#REF!</v>
      </c>
      <c r="C473" s="7">
        <f>100*(LN(Monthly!H473)-LN(Monthly!H472))</f>
        <v>-0.26792931381214302</v>
      </c>
      <c r="D473" s="7">
        <v>7.4007017165590598</v>
      </c>
      <c r="E473" s="7" t="e">
        <f>100*(Monthly!#REF!-Monthly!#REF!)</f>
        <v>#REF!</v>
      </c>
      <c r="F473" s="7" t="e">
        <f>100*(Monthly!#REF!-Monthly!#REF!)</f>
        <v>#REF!</v>
      </c>
      <c r="G473" s="7">
        <v>1</v>
      </c>
    </row>
    <row r="474" spans="1:7" x14ac:dyDescent="0.3">
      <c r="A474" s="4">
        <v>37012</v>
      </c>
      <c r="B474" s="5" t="e">
        <f>Monthly!E474-Monthly!#REF!</f>
        <v>#REF!</v>
      </c>
      <c r="C474" s="7">
        <f>100*(LN(Monthly!H474)-LN(Monthly!H473))</f>
        <v>-0.48931808951504507</v>
      </c>
      <c r="D474" s="7">
        <v>0.50772761924990695</v>
      </c>
      <c r="E474" s="7" t="e">
        <f>100*(Monthly!#REF!-Monthly!#REF!)</f>
        <v>#REF!</v>
      </c>
      <c r="F474" s="7" t="e">
        <f>100*(Monthly!#REF!-Monthly!#REF!)</f>
        <v>#REF!</v>
      </c>
      <c r="G474" s="7">
        <v>1</v>
      </c>
    </row>
    <row r="475" spans="1:7" x14ac:dyDescent="0.3">
      <c r="A475" s="4">
        <v>37043</v>
      </c>
      <c r="B475" s="5" t="e">
        <f>Monthly!E475-Monthly!#REF!</f>
        <v>#REF!</v>
      </c>
      <c r="C475" s="7">
        <f>100*(LN(Monthly!H475)-LN(Monthly!H474))</f>
        <v>-1.1175188189281648</v>
      </c>
      <c r="D475" s="7">
        <v>-2.5354105491820702</v>
      </c>
      <c r="E475" s="7" t="e">
        <f>100*(Monthly!#REF!-Monthly!#REF!)</f>
        <v>#REF!</v>
      </c>
      <c r="F475" s="7" t="e">
        <f>100*(Monthly!#REF!-Monthly!#REF!)</f>
        <v>#REF!</v>
      </c>
      <c r="G475" s="7">
        <v>0</v>
      </c>
    </row>
    <row r="476" spans="1:7" x14ac:dyDescent="0.3">
      <c r="A476" s="4">
        <v>37073</v>
      </c>
      <c r="B476" s="5" t="e">
        <f>Monthly!E476-Monthly!#REF!</f>
        <v>#REF!</v>
      </c>
      <c r="C476" s="7">
        <f>100*(LN(Monthly!H476)-LN(Monthly!H475))</f>
        <v>-0.74531293698072432</v>
      </c>
      <c r="D476" s="7">
        <v>-1.0798241319025199</v>
      </c>
      <c r="E476" s="7" t="e">
        <f>100*(Monthly!#REF!-Monthly!#REF!)</f>
        <v>#REF!</v>
      </c>
      <c r="F476" s="7" t="e">
        <f>100*(Monthly!#REF!-Monthly!#REF!)</f>
        <v>#REF!</v>
      </c>
      <c r="G476" s="7">
        <v>1</v>
      </c>
    </row>
    <row r="477" spans="1:7" x14ac:dyDescent="0.3">
      <c r="A477" s="4">
        <v>37104</v>
      </c>
      <c r="B477" s="5" t="e">
        <f>Monthly!E477-Monthly!#REF!</f>
        <v>#REF!</v>
      </c>
      <c r="C477" s="7">
        <f>100*(LN(Monthly!H477)-LN(Monthly!H476))</f>
        <v>-0.76113745197918803</v>
      </c>
      <c r="D477" s="7">
        <v>-6.6255628529168602</v>
      </c>
      <c r="E477" s="7" t="e">
        <f>100*(Monthly!#REF!-Monthly!#REF!)</f>
        <v>#REF!</v>
      </c>
      <c r="F477" s="7" t="e">
        <f>100*(Monthly!#REF!-Monthly!#REF!)</f>
        <v>#REF!</v>
      </c>
      <c r="G477" s="7">
        <v>0</v>
      </c>
    </row>
    <row r="478" spans="1:7" x14ac:dyDescent="0.3">
      <c r="A478" s="4">
        <v>37135</v>
      </c>
      <c r="B478" s="5" t="e">
        <f>Monthly!E478-Monthly!#REF!</f>
        <v>#REF!</v>
      </c>
      <c r="C478" s="7">
        <f>100*(LN(Monthly!H478)-LN(Monthly!H477))</f>
        <v>0.34427376654484476</v>
      </c>
      <c r="D478" s="7">
        <v>-8.5256632769419909</v>
      </c>
      <c r="E478" s="7" t="e">
        <f>100*(Monthly!#REF!-Monthly!#REF!)</f>
        <v>#REF!</v>
      </c>
      <c r="F478" s="7" t="e">
        <f>100*(Monthly!#REF!-Monthly!#REF!)</f>
        <v>#REF!</v>
      </c>
      <c r="G478" s="7">
        <v>1</v>
      </c>
    </row>
    <row r="479" spans="1:7" x14ac:dyDescent="0.3">
      <c r="A479" s="4">
        <v>37165</v>
      </c>
      <c r="B479" s="5" t="e">
        <f>Monthly!E479-Monthly!#REF!</f>
        <v>#REF!</v>
      </c>
      <c r="C479" s="7">
        <f>100*(LN(Monthly!H479)-LN(Monthly!H478))</f>
        <v>-1.3563818528809612</v>
      </c>
      <c r="D479" s="7">
        <v>1.79372722626829</v>
      </c>
      <c r="E479" s="7" t="e">
        <f>100*(Monthly!#REF!-Monthly!#REF!)</f>
        <v>#REF!</v>
      </c>
      <c r="F479" s="7" t="e">
        <f>100*(Monthly!#REF!-Monthly!#REF!)</f>
        <v>#REF!</v>
      </c>
      <c r="G479" s="7">
        <v>1</v>
      </c>
    </row>
    <row r="480" spans="1:7" x14ac:dyDescent="0.3">
      <c r="A480" s="4">
        <v>37196</v>
      </c>
      <c r="B480" s="5" t="e">
        <f>Monthly!E480-Monthly!#REF!</f>
        <v>#REF!</v>
      </c>
      <c r="C480" s="7">
        <f>100*(LN(Monthly!H480)-LN(Monthly!H479))</f>
        <v>-1.0621988515563174</v>
      </c>
      <c r="D480" s="7">
        <v>7.2484279936710703</v>
      </c>
      <c r="E480" s="7" t="e">
        <f>100*(Monthly!#REF!-Monthly!#REF!)</f>
        <v>#REF!</v>
      </c>
      <c r="F480" s="7" t="e">
        <f>100*(Monthly!#REF!-Monthly!#REF!)</f>
        <v>#REF!</v>
      </c>
      <c r="G480" s="7">
        <v>0</v>
      </c>
    </row>
    <row r="481" spans="1:7" x14ac:dyDescent="0.3">
      <c r="A481" s="4">
        <v>37226</v>
      </c>
      <c r="B481" s="5" t="e">
        <f>Monthly!E481-Monthly!#REF!</f>
        <v>#REF!</v>
      </c>
      <c r="C481" s="7">
        <f>100*(LN(Monthly!H481)-LN(Monthly!H480))</f>
        <v>-1.2298090779518489</v>
      </c>
      <c r="D481" s="7">
        <v>0.75452966090378903</v>
      </c>
      <c r="E481" s="7" t="e">
        <f>100*(Monthly!#REF!-Monthly!#REF!)</f>
        <v>#REF!</v>
      </c>
      <c r="F481" s="7" t="e">
        <f>100*(Monthly!#REF!-Monthly!#REF!)</f>
        <v>#REF!</v>
      </c>
      <c r="G481" s="7">
        <v>0</v>
      </c>
    </row>
    <row r="482" spans="1:7" x14ac:dyDescent="0.3">
      <c r="A482" s="4">
        <v>37257</v>
      </c>
      <c r="B482" s="5" t="e">
        <f>Monthly!E482-Monthly!#REF!</f>
        <v>#REF!</v>
      </c>
      <c r="C482" s="7">
        <f>100*(LN(Monthly!H482)-LN(Monthly!H481))</f>
        <v>-0.96216205099768359</v>
      </c>
      <c r="D482" s="7">
        <v>-1.5696378592795599</v>
      </c>
      <c r="E482" s="7" t="e">
        <f>100*(Monthly!#REF!-Monthly!#REF!)</f>
        <v>#REF!</v>
      </c>
      <c r="F482" s="7" t="e">
        <f>100*(Monthly!#REF!-Monthly!#REF!)</f>
        <v>#REF!</v>
      </c>
      <c r="G482" s="7">
        <v>1</v>
      </c>
    </row>
    <row r="483" spans="1:7" x14ac:dyDescent="0.3">
      <c r="A483" s="4">
        <v>37288</v>
      </c>
      <c r="B483" s="5" t="e">
        <f>Monthly!E483-Monthly!#REF!</f>
        <v>#REF!</v>
      </c>
      <c r="C483" s="7">
        <f>100*(LN(Monthly!H483)-LN(Monthly!H482))</f>
        <v>0.4579502555005277</v>
      </c>
      <c r="D483" s="7">
        <v>-2.0984861119793301</v>
      </c>
      <c r="E483" s="7" t="e">
        <f>100*(Monthly!#REF!-Monthly!#REF!)</f>
        <v>#REF!</v>
      </c>
      <c r="F483" s="7" t="e">
        <f>100*(Monthly!#REF!-Monthly!#REF!)</f>
        <v>#REF!</v>
      </c>
      <c r="G483" s="7">
        <v>1</v>
      </c>
    </row>
    <row r="484" spans="1:7" x14ac:dyDescent="0.3">
      <c r="A484" s="4">
        <v>37316</v>
      </c>
      <c r="B484" s="5" t="e">
        <f>Monthly!E484-Monthly!#REF!</f>
        <v>#REF!</v>
      </c>
      <c r="C484" s="7">
        <f>100*(LN(Monthly!H484)-LN(Monthly!H483))</f>
        <v>-0.43110034254709717</v>
      </c>
      <c r="D484" s="7">
        <v>3.6080106667214999</v>
      </c>
      <c r="E484" s="7" t="e">
        <f>100*(Monthly!#REF!-Monthly!#REF!)</f>
        <v>#REF!</v>
      </c>
      <c r="F484" s="7" t="e">
        <f>100*(Monthly!#REF!-Monthly!#REF!)</f>
        <v>#REF!</v>
      </c>
      <c r="G484" s="7">
        <v>0</v>
      </c>
    </row>
    <row r="485" spans="1:7" x14ac:dyDescent="0.3">
      <c r="A485" s="4">
        <v>37347</v>
      </c>
      <c r="B485" s="5" t="e">
        <f>Monthly!E485-Monthly!#REF!</f>
        <v>#REF!</v>
      </c>
      <c r="C485" s="7">
        <f>100*(LN(Monthly!H485)-LN(Monthly!H484))</f>
        <v>-1.151600104701167</v>
      </c>
      <c r="D485" s="7">
        <v>-6.33846547446828</v>
      </c>
      <c r="E485" s="7" t="e">
        <f>100*(Monthly!#REF!-Monthly!#REF!)</f>
        <v>#REF!</v>
      </c>
      <c r="F485" s="7" t="e">
        <f>100*(Monthly!#REF!-Monthly!#REF!)</f>
        <v>#REF!</v>
      </c>
      <c r="G485" s="7">
        <v>0</v>
      </c>
    </row>
    <row r="486" spans="1:7" x14ac:dyDescent="0.3">
      <c r="A486" s="4">
        <v>37377</v>
      </c>
      <c r="B486" s="5" t="e">
        <f>Monthly!E486-Monthly!#REF!</f>
        <v>#REF!</v>
      </c>
      <c r="C486" s="7">
        <f>100*(LN(Monthly!H486)-LN(Monthly!H485))</f>
        <v>-0.97416475534641833</v>
      </c>
      <c r="D486" s="7">
        <v>-0.91229693767845699</v>
      </c>
      <c r="E486" s="7" t="e">
        <f>100*(Monthly!#REF!-Monthly!#REF!)</f>
        <v>#REF!</v>
      </c>
      <c r="F486" s="7" t="e">
        <f>100*(Monthly!#REF!-Monthly!#REF!)</f>
        <v>#REF!</v>
      </c>
      <c r="G486" s="7">
        <v>1</v>
      </c>
    </row>
    <row r="487" spans="1:7" x14ac:dyDescent="0.3">
      <c r="A487" s="4">
        <v>37408</v>
      </c>
      <c r="B487" s="5" t="e">
        <f>Monthly!E487-Monthly!#REF!</f>
        <v>#REF!</v>
      </c>
      <c r="C487" s="7">
        <f>100*(LN(Monthly!H487)-LN(Monthly!H486))</f>
        <v>-0.69631307998587744</v>
      </c>
      <c r="D487" s="7">
        <v>-7.5214349603178698</v>
      </c>
      <c r="E487" s="7" t="e">
        <f>100*(Monthly!#REF!-Monthly!#REF!)</f>
        <v>#REF!</v>
      </c>
      <c r="F487" s="7" t="e">
        <f>100*(Monthly!#REF!-Monthly!#REF!)</f>
        <v>#REF!</v>
      </c>
      <c r="G487" s="7">
        <v>1</v>
      </c>
    </row>
    <row r="488" spans="1:7" x14ac:dyDescent="0.3">
      <c r="A488" s="4">
        <v>37438</v>
      </c>
      <c r="B488" s="5" t="e">
        <f>Monthly!E488-Monthly!#REF!</f>
        <v>#REF!</v>
      </c>
      <c r="C488" s="7">
        <f>100*(LN(Monthly!H488)-LN(Monthly!H487))</f>
        <v>-0.74233934740739471</v>
      </c>
      <c r="D488" s="7">
        <v>-8.2299884593638009</v>
      </c>
      <c r="E488" s="7" t="e">
        <f>100*(Monthly!#REF!-Monthly!#REF!)</f>
        <v>#REF!</v>
      </c>
      <c r="F488" s="7" t="e">
        <f>100*(Monthly!#REF!-Monthly!#REF!)</f>
        <v>#REF!</v>
      </c>
      <c r="G488" s="7">
        <v>1</v>
      </c>
    </row>
    <row r="489" spans="1:7" x14ac:dyDescent="0.3">
      <c r="A489" s="4">
        <v>37469</v>
      </c>
      <c r="B489" s="5" t="e">
        <f>Monthly!E489-Monthly!#REF!</f>
        <v>#REF!</v>
      </c>
      <c r="C489" s="7">
        <f>100*(LN(Monthly!H489)-LN(Monthly!H488))</f>
        <v>-0.42835011604429596</v>
      </c>
      <c r="D489" s="7">
        <v>0.48695577417695501</v>
      </c>
      <c r="E489" s="7" t="e">
        <f>100*(Monthly!#REF!-Monthly!#REF!)</f>
        <v>#REF!</v>
      </c>
      <c r="F489" s="7" t="e">
        <f>100*(Monthly!#REF!-Monthly!#REF!)</f>
        <v>#REF!</v>
      </c>
      <c r="G489" s="7">
        <v>1</v>
      </c>
    </row>
    <row r="490" spans="1:7" x14ac:dyDescent="0.3">
      <c r="A490" s="4">
        <v>37500</v>
      </c>
      <c r="B490" s="5" t="e">
        <f>Monthly!E490-Monthly!#REF!</f>
        <v>#REF!</v>
      </c>
      <c r="C490" s="7">
        <f>100*(LN(Monthly!H490)-LN(Monthly!H489))</f>
        <v>-0.62098276966482402</v>
      </c>
      <c r="D490" s="7">
        <v>-11.656114050838699</v>
      </c>
      <c r="E490" s="7" t="e">
        <f>100*(Monthly!#REF!-Monthly!#REF!)</f>
        <v>#REF!</v>
      </c>
      <c r="F490" s="7" t="e">
        <f>100*(Monthly!#REF!-Monthly!#REF!)</f>
        <v>#REF!</v>
      </c>
      <c r="G490" s="7">
        <v>1</v>
      </c>
    </row>
    <row r="491" spans="1:7" x14ac:dyDescent="0.3">
      <c r="A491" s="4">
        <v>37530</v>
      </c>
      <c r="B491" s="5" t="e">
        <f>Monthly!E491-Monthly!#REF!</f>
        <v>#REF!</v>
      </c>
      <c r="C491" s="7">
        <f>100*(LN(Monthly!H491)-LN(Monthly!H490))</f>
        <v>-0.32579101783234421</v>
      </c>
      <c r="D491" s="7">
        <v>8.2914396119154201</v>
      </c>
      <c r="E491" s="7" t="e">
        <f>100*(Monthly!#REF!-Monthly!#REF!)</f>
        <v>#REF!</v>
      </c>
      <c r="F491" s="7" t="e">
        <f>100*(Monthly!#REF!-Monthly!#REF!)</f>
        <v>#REF!</v>
      </c>
      <c r="G491" s="7">
        <v>1</v>
      </c>
    </row>
    <row r="492" spans="1:7" x14ac:dyDescent="0.3">
      <c r="A492" s="4">
        <v>37561</v>
      </c>
      <c r="B492" s="5" t="e">
        <f>Monthly!E492-Monthly!#REF!</f>
        <v>#REF!</v>
      </c>
      <c r="C492" s="7">
        <f>100*(LN(Monthly!H492)-LN(Monthly!H491))</f>
        <v>-0.25865974198735486</v>
      </c>
      <c r="D492" s="7">
        <v>5.55005710434994</v>
      </c>
      <c r="E492" s="7" t="e">
        <f>100*(Monthly!#REF!-Monthly!#REF!)</f>
        <v>#REF!</v>
      </c>
      <c r="F492" s="7" t="e">
        <f>100*(Monthly!#REF!-Monthly!#REF!)</f>
        <v>#REF!</v>
      </c>
      <c r="G492" s="7">
        <v>1</v>
      </c>
    </row>
    <row r="493" spans="1:7" x14ac:dyDescent="0.3">
      <c r="A493" s="4">
        <v>37591</v>
      </c>
      <c r="B493" s="5" t="e">
        <f>Monthly!E493-Monthly!#REF!</f>
        <v>#REF!</v>
      </c>
      <c r="C493" s="7">
        <f>100*(LN(Monthly!H493)-LN(Monthly!H492))</f>
        <v>-0.31612404055136878</v>
      </c>
      <c r="D493" s="7">
        <v>-6.2229266197720499</v>
      </c>
      <c r="E493" s="7" t="e">
        <f>100*(Monthly!#REF!-Monthly!#REF!)</f>
        <v>#REF!</v>
      </c>
      <c r="F493" s="7" t="e">
        <f>100*(Monthly!#REF!-Monthly!#REF!)</f>
        <v>#REF!</v>
      </c>
      <c r="G493" s="7">
        <v>1</v>
      </c>
    </row>
    <row r="494" spans="1:7" x14ac:dyDescent="0.3">
      <c r="A494" s="4">
        <v>37622</v>
      </c>
      <c r="B494" s="5" t="e">
        <f>Monthly!E494-Monthly!#REF!</f>
        <v>#REF!</v>
      </c>
      <c r="C494" s="7">
        <f>100*(LN(Monthly!H494)-LN(Monthly!H493))</f>
        <v>-0.79959874462760538</v>
      </c>
      <c r="D494" s="7">
        <v>-2.77974877305516</v>
      </c>
      <c r="E494" s="7" t="e">
        <f>100*(Monthly!#REF!-Monthly!#REF!)</f>
        <v>#REF!</v>
      </c>
      <c r="F494" s="7" t="e">
        <f>100*(Monthly!#REF!-Monthly!#REF!)</f>
        <v>#REF!</v>
      </c>
      <c r="G494" s="7">
        <v>1</v>
      </c>
    </row>
    <row r="495" spans="1:7" x14ac:dyDescent="0.3">
      <c r="A495" s="4">
        <v>37653</v>
      </c>
      <c r="B495" s="5" t="e">
        <f>Monthly!E495-Monthly!#REF!</f>
        <v>#REF!</v>
      </c>
      <c r="C495" s="7">
        <f>100*(LN(Monthly!H495)-LN(Monthly!H494))</f>
        <v>-0.93798172516557088</v>
      </c>
      <c r="D495" s="7">
        <v>-1.71498294997661</v>
      </c>
      <c r="E495" s="7" t="e">
        <f>100*(Monthly!#REF!-Monthly!#REF!)</f>
        <v>#REF!</v>
      </c>
      <c r="F495" s="7" t="e">
        <f>100*(Monthly!#REF!-Monthly!#REF!)</f>
        <v>#REF!</v>
      </c>
      <c r="G495" s="7">
        <v>1</v>
      </c>
    </row>
    <row r="496" spans="1:7" x14ac:dyDescent="0.3">
      <c r="A496" s="4">
        <v>37681</v>
      </c>
      <c r="B496" s="5" t="e">
        <f>Monthly!E496-Monthly!#REF!</f>
        <v>#REF!</v>
      </c>
      <c r="C496" s="7">
        <f>100*(LN(Monthly!H496)-LN(Monthly!H495))</f>
        <v>-0.3746351049749741</v>
      </c>
      <c r="D496" s="7">
        <v>0.83228365929884596</v>
      </c>
      <c r="E496" s="7" t="e">
        <f>100*(Monthly!#REF!-Monthly!#REF!)</f>
        <v>#REF!</v>
      </c>
      <c r="F496" s="7" t="e">
        <f>100*(Monthly!#REF!-Monthly!#REF!)</f>
        <v>#REF!</v>
      </c>
      <c r="G496" s="7">
        <v>1</v>
      </c>
    </row>
    <row r="497" spans="1:7" x14ac:dyDescent="0.3">
      <c r="A497" s="4">
        <v>37712</v>
      </c>
      <c r="B497" s="5" t="e">
        <f>Monthly!E497-Monthly!#REF!</f>
        <v>#REF!</v>
      </c>
      <c r="C497" s="7">
        <f>100*(LN(Monthly!H497)-LN(Monthly!H496))</f>
        <v>-0.2574380255466302</v>
      </c>
      <c r="D497" s="7">
        <v>7.7927340026378999</v>
      </c>
      <c r="E497" s="7" t="e">
        <f>100*(Monthly!#REF!-Monthly!#REF!)</f>
        <v>#REF!</v>
      </c>
      <c r="F497" s="7" t="e">
        <f>100*(Monthly!#REF!-Monthly!#REF!)</f>
        <v>#REF!</v>
      </c>
      <c r="G497" s="7">
        <v>1</v>
      </c>
    </row>
    <row r="498" spans="1:7" x14ac:dyDescent="0.3">
      <c r="A498" s="4">
        <v>37742</v>
      </c>
      <c r="B498" s="5" t="e">
        <f>Monthly!E498-Monthly!#REF!</f>
        <v>#REF!</v>
      </c>
      <c r="C498" s="7">
        <f>100*(LN(Monthly!H498)-LN(Monthly!H497))</f>
        <v>-1.2321638353161468</v>
      </c>
      <c r="D498" s="7">
        <v>4.9645711997825899</v>
      </c>
      <c r="E498" s="7" t="e">
        <f>100*(Monthly!#REF!-Monthly!#REF!)</f>
        <v>#REF!</v>
      </c>
      <c r="F498" s="7" t="e">
        <f>100*(Monthly!#REF!-Monthly!#REF!)</f>
        <v>#REF!</v>
      </c>
      <c r="G498" s="7">
        <v>0</v>
      </c>
    </row>
    <row r="499" spans="1:7" x14ac:dyDescent="0.3">
      <c r="A499" s="4">
        <v>37773</v>
      </c>
      <c r="B499" s="5" t="e">
        <f>Monthly!E499-Monthly!#REF!</f>
        <v>#REF!</v>
      </c>
      <c r="C499" s="7">
        <f>100*(LN(Monthly!H499)-LN(Monthly!H498))</f>
        <v>-0.72435824893775091</v>
      </c>
      <c r="D499" s="7">
        <v>1.1258598140628999</v>
      </c>
      <c r="E499" s="7" t="e">
        <f>100*(Monthly!#REF!-Monthly!#REF!)</f>
        <v>#REF!</v>
      </c>
      <c r="F499" s="7" t="e">
        <f>100*(Monthly!#REF!-Monthly!#REF!)</f>
        <v>#REF!</v>
      </c>
      <c r="G499" s="7">
        <v>0</v>
      </c>
    </row>
    <row r="500" spans="1:7" x14ac:dyDescent="0.3">
      <c r="A500" s="4">
        <v>37803</v>
      </c>
      <c r="B500" s="5" t="e">
        <f>Monthly!E500-Monthly!#REF!</f>
        <v>#REF!</v>
      </c>
      <c r="C500" s="7">
        <f>100*(LN(Monthly!H500)-LN(Monthly!H499))</f>
        <v>0.45958973081541288</v>
      </c>
      <c r="D500" s="7">
        <v>1.6093504013478801</v>
      </c>
      <c r="E500" s="7" t="e">
        <f>100*(Monthly!#REF!-Monthly!#REF!)</f>
        <v>#REF!</v>
      </c>
      <c r="F500" s="7" t="e">
        <f>100*(Monthly!#REF!-Monthly!#REF!)</f>
        <v>#REF!</v>
      </c>
      <c r="G500" s="7">
        <v>0</v>
      </c>
    </row>
    <row r="501" spans="1:7" x14ac:dyDescent="0.3">
      <c r="A501" s="4">
        <v>37834</v>
      </c>
      <c r="B501" s="5" t="e">
        <f>Monthly!E501-Monthly!#REF!</f>
        <v>#REF!</v>
      </c>
      <c r="C501" s="7">
        <f>100*(LN(Monthly!H501)-LN(Monthly!H500))</f>
        <v>-1.2930276071651647</v>
      </c>
      <c r="D501" s="7">
        <v>1.7715355943955</v>
      </c>
      <c r="E501" s="7" t="e">
        <f>100*(Monthly!#REF!-Monthly!#REF!)</f>
        <v>#REF!</v>
      </c>
      <c r="F501" s="7" t="e">
        <f>100*(Monthly!#REF!-Monthly!#REF!)</f>
        <v>#REF!</v>
      </c>
      <c r="G501" s="7">
        <v>0</v>
      </c>
    </row>
    <row r="502" spans="1:7" x14ac:dyDescent="0.3">
      <c r="A502" s="4">
        <v>37865</v>
      </c>
      <c r="B502" s="5" t="e">
        <f>Monthly!E502-Monthly!#REF!</f>
        <v>#REF!</v>
      </c>
      <c r="C502" s="7">
        <f>100*(LN(Monthly!H502)-LN(Monthly!H501))</f>
        <v>-1.0667778770718783</v>
      </c>
      <c r="D502" s="7">
        <v>-1.20162716714291</v>
      </c>
      <c r="E502" s="7" t="e">
        <f>100*(Monthly!#REF!-Monthly!#REF!)</f>
        <v>#REF!</v>
      </c>
      <c r="F502" s="7" t="e">
        <f>100*(Monthly!#REF!-Monthly!#REF!)</f>
        <v>#REF!</v>
      </c>
      <c r="G502" s="7">
        <v>0</v>
      </c>
    </row>
    <row r="503" spans="1:7" x14ac:dyDescent="0.3">
      <c r="A503" s="4">
        <v>37895</v>
      </c>
      <c r="B503" s="5" t="e">
        <f>Monthly!E503-Monthly!#REF!</f>
        <v>#REF!</v>
      </c>
      <c r="C503" s="7">
        <f>100*(LN(Monthly!H503)-LN(Monthly!H502))</f>
        <v>-1.424575014512186</v>
      </c>
      <c r="D503" s="7">
        <v>5.3504260703123201</v>
      </c>
      <c r="E503" s="7" t="e">
        <f>100*(Monthly!#REF!-Monthly!#REF!)</f>
        <v>#REF!</v>
      </c>
      <c r="F503" s="7" t="e">
        <f>100*(Monthly!#REF!-Monthly!#REF!)</f>
        <v>#REF!</v>
      </c>
      <c r="G503" s="7">
        <v>0</v>
      </c>
    </row>
    <row r="504" spans="1:7" x14ac:dyDescent="0.3">
      <c r="A504" s="4">
        <v>37926</v>
      </c>
      <c r="B504" s="5" t="e">
        <f>Monthly!E504-Monthly!#REF!</f>
        <v>#REF!</v>
      </c>
      <c r="C504" s="7">
        <f>100*(LN(Monthly!H504)-LN(Monthly!H503))</f>
        <v>-0.57954047218879978</v>
      </c>
      <c r="D504" s="7">
        <v>0.71032163906625301</v>
      </c>
      <c r="E504" s="7" t="e">
        <f>100*(Monthly!#REF!-Monthly!#REF!)</f>
        <v>#REF!</v>
      </c>
      <c r="F504" s="7" t="e">
        <f>100*(Monthly!#REF!-Monthly!#REF!)</f>
        <v>#REF!</v>
      </c>
      <c r="G504" s="7">
        <v>0</v>
      </c>
    </row>
    <row r="505" spans="1:7" x14ac:dyDescent="0.3">
      <c r="A505" s="4">
        <v>37956</v>
      </c>
      <c r="B505" s="5" t="e">
        <f>Monthly!E505-Monthly!#REF!</f>
        <v>#REF!</v>
      </c>
      <c r="C505" s="7">
        <f>100*(LN(Monthly!H505)-LN(Monthly!H504))</f>
        <v>0.17746639615667803</v>
      </c>
      <c r="D505" s="7">
        <v>4.9518984971104896</v>
      </c>
      <c r="E505" s="7" t="e">
        <f>100*(Monthly!#REF!-Monthly!#REF!)</f>
        <v>#REF!</v>
      </c>
      <c r="F505" s="7" t="e">
        <f>100*(Monthly!#REF!-Monthly!#REF!)</f>
        <v>#REF!</v>
      </c>
      <c r="G505" s="7">
        <v>0</v>
      </c>
    </row>
    <row r="506" spans="1:7" x14ac:dyDescent="0.3">
      <c r="A506" s="4">
        <v>37987</v>
      </c>
      <c r="B506" s="5" t="e">
        <f>Monthly!E506-Monthly!#REF!</f>
        <v>#REF!</v>
      </c>
      <c r="C506" s="7">
        <f>100*(LN(Monthly!H506)-LN(Monthly!H505))</f>
        <v>-0.84317104211173444</v>
      </c>
      <c r="D506" s="7">
        <v>1.71288470577149</v>
      </c>
      <c r="E506" s="7" t="e">
        <f>100*(Monthly!#REF!-Monthly!#REF!)</f>
        <v>#REF!</v>
      </c>
      <c r="F506" s="7" t="e">
        <f>100*(Monthly!#REF!-Monthly!#REF!)</f>
        <v>#REF!</v>
      </c>
      <c r="G506" s="7">
        <v>0</v>
      </c>
    </row>
    <row r="507" spans="1:7" x14ac:dyDescent="0.3">
      <c r="A507" s="4">
        <v>38018</v>
      </c>
      <c r="B507" s="5" t="e">
        <f>Monthly!E507-Monthly!#REF!</f>
        <v>#REF!</v>
      </c>
      <c r="C507" s="7">
        <f>100*(LN(Monthly!H507)-LN(Monthly!H506))</f>
        <v>-0.22372879456558081</v>
      </c>
      <c r="D507" s="7">
        <v>1.2135045336105801</v>
      </c>
      <c r="E507" s="7" t="e">
        <f>100*(Monthly!#REF!-Monthly!#REF!)</f>
        <v>#REF!</v>
      </c>
      <c r="F507" s="7" t="e">
        <f>100*(Monthly!#REF!-Monthly!#REF!)</f>
        <v>#REF!</v>
      </c>
      <c r="G507" s="7">
        <v>0</v>
      </c>
    </row>
    <row r="508" spans="1:7" x14ac:dyDescent="0.3">
      <c r="A508" s="4">
        <v>38047</v>
      </c>
      <c r="B508" s="5" t="e">
        <f>Monthly!E508-Monthly!#REF!</f>
        <v>#REF!</v>
      </c>
      <c r="C508" s="7">
        <f>100*(LN(Monthly!H508)-LN(Monthly!H507))</f>
        <v>-0.54629367093506076</v>
      </c>
      <c r="D508" s="7">
        <v>-1.64942041786425</v>
      </c>
      <c r="E508" s="7" t="e">
        <f>100*(Monthly!#REF!-Monthly!#REF!)</f>
        <v>#REF!</v>
      </c>
      <c r="F508" s="7" t="e">
        <f>100*(Monthly!#REF!-Monthly!#REF!)</f>
        <v>#REF!</v>
      </c>
      <c r="G508" s="7">
        <v>0</v>
      </c>
    </row>
    <row r="509" spans="1:7" x14ac:dyDescent="0.3">
      <c r="A509" s="4">
        <v>38078</v>
      </c>
      <c r="B509" s="5" t="e">
        <f>Monthly!E509-Monthly!#REF!</f>
        <v>#REF!</v>
      </c>
      <c r="C509" s="7">
        <f>100*(LN(Monthly!H509)-LN(Monthly!H508))</f>
        <v>-0.55131816313744864</v>
      </c>
      <c r="D509" s="7">
        <v>-1.6933314713063901</v>
      </c>
      <c r="E509" s="7" t="e">
        <f>100*(Monthly!#REF!-Monthly!#REF!)</f>
        <v>#REF!</v>
      </c>
      <c r="F509" s="7" t="e">
        <f>100*(Monthly!#REF!-Monthly!#REF!)</f>
        <v>#REF!</v>
      </c>
      <c r="G509" s="7">
        <v>0</v>
      </c>
    </row>
    <row r="510" spans="1:7" x14ac:dyDescent="0.3">
      <c r="A510" s="4">
        <v>38108</v>
      </c>
      <c r="B510" s="5" t="e">
        <f>Monthly!E510-Monthly!#REF!</f>
        <v>#REF!</v>
      </c>
      <c r="C510" s="7">
        <f>100*(LN(Monthly!H510)-LN(Monthly!H509))</f>
        <v>-0.23551717545791107</v>
      </c>
      <c r="D510" s="7">
        <v>1.2011028036095801</v>
      </c>
      <c r="E510" s="7" t="e">
        <f>100*(Monthly!#REF!-Monthly!#REF!)</f>
        <v>#REF!</v>
      </c>
      <c r="F510" s="7" t="e">
        <f>100*(Monthly!#REF!-Monthly!#REF!)</f>
        <v>#REF!</v>
      </c>
      <c r="G510" s="7">
        <v>0</v>
      </c>
    </row>
    <row r="511" spans="1:7" x14ac:dyDescent="0.3">
      <c r="A511" s="4">
        <v>38139</v>
      </c>
      <c r="B511" s="5" t="e">
        <f>Monthly!E511-Monthly!#REF!</f>
        <v>#REF!</v>
      </c>
      <c r="C511" s="7">
        <f>100*(LN(Monthly!H511)-LN(Monthly!H510))</f>
        <v>0.73290564214634202</v>
      </c>
      <c r="D511" s="7">
        <v>1.78291113621115</v>
      </c>
      <c r="E511" s="7" t="e">
        <f>100*(Monthly!#REF!-Monthly!#REF!)</f>
        <v>#REF!</v>
      </c>
      <c r="F511" s="7" t="e">
        <f>100*(Monthly!#REF!-Monthly!#REF!)</f>
        <v>#REF!</v>
      </c>
      <c r="G511" s="7">
        <v>0</v>
      </c>
    </row>
    <row r="512" spans="1:7" x14ac:dyDescent="0.3">
      <c r="A512" s="4">
        <v>38169</v>
      </c>
      <c r="B512" s="5" t="e">
        <f>Monthly!E512-Monthly!#REF!</f>
        <v>#REF!</v>
      </c>
      <c r="C512" s="7">
        <f>100*(LN(Monthly!H512)-LN(Monthly!H511))</f>
        <v>1.0384359232249452</v>
      </c>
      <c r="D512" s="7">
        <v>-3.4892234847166801</v>
      </c>
      <c r="E512" s="7" t="e">
        <f>100*(Monthly!#REF!-Monthly!#REF!)</f>
        <v>#REF!</v>
      </c>
      <c r="F512" s="7" t="e">
        <f>100*(Monthly!#REF!-Monthly!#REF!)</f>
        <v>#REF!</v>
      </c>
      <c r="G512" s="7">
        <v>0</v>
      </c>
    </row>
    <row r="513" spans="1:7" x14ac:dyDescent="0.3">
      <c r="A513" s="4">
        <v>38200</v>
      </c>
      <c r="B513" s="5" t="e">
        <f>Monthly!E513-Monthly!#REF!</f>
        <v>#REF!</v>
      </c>
      <c r="C513" s="7">
        <f>100*(LN(Monthly!H513)-LN(Monthly!H512))</f>
        <v>0.53546267787218937</v>
      </c>
      <c r="D513" s="7">
        <v>0.22847383199045701</v>
      </c>
      <c r="E513" s="7" t="e">
        <f>100*(Monthly!#REF!-Monthly!#REF!)</f>
        <v>#REF!</v>
      </c>
      <c r="F513" s="7" t="e">
        <f>100*(Monthly!#REF!-Monthly!#REF!)</f>
        <v>#REF!</v>
      </c>
      <c r="G513" s="7">
        <v>0</v>
      </c>
    </row>
    <row r="514" spans="1:7" x14ac:dyDescent="0.3">
      <c r="A514" s="4">
        <v>38231</v>
      </c>
      <c r="B514" s="5" t="e">
        <f>Monthly!E514-Monthly!#REF!</f>
        <v>#REF!</v>
      </c>
      <c r="C514" s="7">
        <f>100*(LN(Monthly!H514)-LN(Monthly!H513))</f>
        <v>0.44143026499003923</v>
      </c>
      <c r="D514" s="7">
        <v>0.93203062182699403</v>
      </c>
      <c r="E514" s="7" t="e">
        <f>100*(Monthly!#REF!-Monthly!#REF!)</f>
        <v>#REF!</v>
      </c>
      <c r="F514" s="7" t="e">
        <f>100*(Monthly!#REF!-Monthly!#REF!)</f>
        <v>#REF!</v>
      </c>
      <c r="G514" s="7">
        <v>0</v>
      </c>
    </row>
    <row r="515" spans="1:7" x14ac:dyDescent="0.3">
      <c r="A515" s="4">
        <v>38261</v>
      </c>
      <c r="B515" s="5" t="e">
        <f>Monthly!E515-Monthly!#REF!</f>
        <v>#REF!</v>
      </c>
      <c r="C515" s="7">
        <f>100*(LN(Monthly!H515)-LN(Monthly!H514))</f>
        <v>0.31446865988309369</v>
      </c>
      <c r="D515" s="7">
        <v>1.3916952102817799</v>
      </c>
      <c r="E515" s="7" t="e">
        <f>100*(Monthly!#REF!-Monthly!#REF!)</f>
        <v>#REF!</v>
      </c>
      <c r="F515" s="7" t="e">
        <f>100*(Monthly!#REF!-Monthly!#REF!)</f>
        <v>#REF!</v>
      </c>
      <c r="G515" s="7">
        <v>0</v>
      </c>
    </row>
    <row r="516" spans="1:7" x14ac:dyDescent="0.3">
      <c r="A516" s="4">
        <v>38292</v>
      </c>
      <c r="B516" s="5" t="e">
        <f>Monthly!E516-Monthly!#REF!</f>
        <v>#REF!</v>
      </c>
      <c r="C516" s="7">
        <f>100*(LN(Monthly!H516)-LN(Monthly!H515))</f>
        <v>0.94439815197517873</v>
      </c>
      <c r="D516" s="7">
        <v>3.7868776906828301</v>
      </c>
      <c r="E516" s="7" t="e">
        <f>100*(Monthly!#REF!-Monthly!#REF!)</f>
        <v>#REF!</v>
      </c>
      <c r="F516" s="7" t="e">
        <f>100*(Monthly!#REF!-Monthly!#REF!)</f>
        <v>#REF!</v>
      </c>
      <c r="G516" s="7">
        <v>0</v>
      </c>
    </row>
    <row r="517" spans="1:7" x14ac:dyDescent="0.3">
      <c r="A517" s="4">
        <v>38322</v>
      </c>
      <c r="B517" s="5" t="e">
        <f>Monthly!E517-Monthly!#REF!</f>
        <v>#REF!</v>
      </c>
      <c r="C517" s="7">
        <f>100*(LN(Monthly!H517)-LN(Monthly!H516))</f>
        <v>0.94749912512055445</v>
      </c>
      <c r="D517" s="7">
        <v>3.1942573211482799</v>
      </c>
      <c r="E517" s="7" t="e">
        <f>100*(Monthly!#REF!-Monthly!#REF!)</f>
        <v>#REF!</v>
      </c>
      <c r="F517" s="7" t="e">
        <f>100*(Monthly!#REF!-Monthly!#REF!)</f>
        <v>#REF!</v>
      </c>
      <c r="G517" s="7">
        <v>0</v>
      </c>
    </row>
    <row r="518" spans="1:7" x14ac:dyDescent="0.3">
      <c r="A518" s="4">
        <v>38353</v>
      </c>
      <c r="B518" s="5" t="e">
        <f>Monthly!E518-Monthly!#REF!</f>
        <v>#REF!</v>
      </c>
      <c r="C518" s="7">
        <f>100*(LN(Monthly!H518)-LN(Monthly!H517))</f>
        <v>1.6193148195608131</v>
      </c>
      <c r="D518" s="7">
        <v>-2.5615767695305802</v>
      </c>
      <c r="E518" s="7" t="e">
        <f>100*(Monthly!#REF!-Monthly!#REF!)</f>
        <v>#REF!</v>
      </c>
      <c r="F518" s="7" t="e">
        <f>100*(Monthly!#REF!-Monthly!#REF!)</f>
        <v>#REF!</v>
      </c>
      <c r="G518" s="7">
        <v>0</v>
      </c>
    </row>
    <row r="519" spans="1:7" x14ac:dyDescent="0.3">
      <c r="A519" s="4">
        <v>38384</v>
      </c>
      <c r="B519" s="5" t="e">
        <f>Monthly!E519-Monthly!#REF!</f>
        <v>#REF!</v>
      </c>
      <c r="C519" s="7">
        <f>100*(LN(Monthly!H519)-LN(Monthly!H518))</f>
        <v>1.1098602908874433</v>
      </c>
      <c r="D519" s="7">
        <v>1.87268980560266</v>
      </c>
      <c r="E519" s="7" t="e">
        <f>100*(Monthly!#REF!-Monthly!#REF!)</f>
        <v>#REF!</v>
      </c>
      <c r="F519" s="7" t="e">
        <f>100*(Monthly!#REF!-Monthly!#REF!)</f>
        <v>#REF!</v>
      </c>
      <c r="G519" s="7">
        <v>0</v>
      </c>
    </row>
    <row r="520" spans="1:7" x14ac:dyDescent="0.3">
      <c r="A520" s="4">
        <v>38412</v>
      </c>
      <c r="B520" s="5" t="e">
        <f>Monthly!E520-Monthly!#REF!</f>
        <v>#REF!</v>
      </c>
      <c r="C520" s="7">
        <f>100*(LN(Monthly!H520)-LN(Monthly!H519))</f>
        <v>1.5192710416396693</v>
      </c>
      <c r="D520" s="7">
        <v>-1.9302760921690501</v>
      </c>
      <c r="E520" s="7" t="e">
        <f>100*(Monthly!#REF!-Monthly!#REF!)</f>
        <v>#REF!</v>
      </c>
      <c r="F520" s="7" t="e">
        <f>100*(Monthly!#REF!-Monthly!#REF!)</f>
        <v>#REF!</v>
      </c>
      <c r="G520" s="7">
        <v>0</v>
      </c>
    </row>
    <row r="521" spans="1:7" x14ac:dyDescent="0.3">
      <c r="A521" s="4">
        <v>38443</v>
      </c>
      <c r="B521" s="5" t="e">
        <f>Monthly!E521-Monthly!#REF!</f>
        <v>#REF!</v>
      </c>
      <c r="C521" s="7">
        <f>100*(LN(Monthly!H521)-LN(Monthly!H520))</f>
        <v>1.3586653050448483</v>
      </c>
      <c r="D521" s="7">
        <v>-2.0313511500222501</v>
      </c>
      <c r="E521" s="7" t="e">
        <f>100*(Monthly!#REF!-Monthly!#REF!)</f>
        <v>#REF!</v>
      </c>
      <c r="F521" s="7" t="e">
        <f>100*(Monthly!#REF!-Monthly!#REF!)</f>
        <v>#REF!</v>
      </c>
      <c r="G521" s="7">
        <v>0</v>
      </c>
    </row>
    <row r="522" spans="1:7" x14ac:dyDescent="0.3">
      <c r="A522" s="4">
        <v>38473</v>
      </c>
      <c r="B522" s="5" t="e">
        <f>Monthly!E522-Monthly!#REF!</f>
        <v>#REF!</v>
      </c>
      <c r="C522" s="7">
        <f>100*(LN(Monthly!H522)-LN(Monthly!H521))</f>
        <v>1.0192652444489525</v>
      </c>
      <c r="D522" s="7">
        <v>2.9512244489019501</v>
      </c>
      <c r="E522" s="7" t="e">
        <f>100*(Monthly!#REF!-Monthly!#REF!)</f>
        <v>#REF!</v>
      </c>
      <c r="F522" s="7" t="e">
        <f>100*(Monthly!#REF!-Monthly!#REF!)</f>
        <v>#REF!</v>
      </c>
      <c r="G522" s="7">
        <v>0</v>
      </c>
    </row>
    <row r="523" spans="1:7" x14ac:dyDescent="0.3">
      <c r="A523" s="4">
        <v>38504</v>
      </c>
      <c r="B523" s="5" t="e">
        <f>Monthly!E523-Monthly!#REF!</f>
        <v>#REF!</v>
      </c>
      <c r="C523" s="7">
        <f>100*(LN(Monthly!H523)-LN(Monthly!H522))</f>
        <v>0.65682473579462552</v>
      </c>
      <c r="D523" s="7">
        <v>-1.4272436450534901E-2</v>
      </c>
      <c r="E523" s="7" t="e">
        <f>100*(Monthly!#REF!-Monthly!#REF!)</f>
        <v>#REF!</v>
      </c>
      <c r="F523" s="7" t="e">
        <f>100*(Monthly!#REF!-Monthly!#REF!)</f>
        <v>#REF!</v>
      </c>
      <c r="G523" s="7">
        <v>0</v>
      </c>
    </row>
    <row r="524" spans="1:7" x14ac:dyDescent="0.3">
      <c r="A524" s="4">
        <v>38534</v>
      </c>
      <c r="B524" s="5" t="e">
        <f>Monthly!E524-Monthly!#REF!</f>
        <v>#REF!</v>
      </c>
      <c r="C524" s="7">
        <f>100*(LN(Monthly!H524)-LN(Monthly!H523))</f>
        <v>1.4960452787132539</v>
      </c>
      <c r="D524" s="7">
        <v>3.5336532271868699</v>
      </c>
      <c r="E524" s="7" t="e">
        <f>100*(Monthly!#REF!-Monthly!#REF!)</f>
        <v>#REF!</v>
      </c>
      <c r="F524" s="7" t="e">
        <f>100*(Monthly!#REF!-Monthly!#REF!)</f>
        <v>#REF!</v>
      </c>
      <c r="G524" s="7">
        <v>0</v>
      </c>
    </row>
    <row r="525" spans="1:7" x14ac:dyDescent="0.3">
      <c r="A525" s="4">
        <v>38565</v>
      </c>
      <c r="B525" s="5" t="e">
        <f>Monthly!E525-Monthly!#REF!</f>
        <v>#REF!</v>
      </c>
      <c r="C525" s="7">
        <f>100*(LN(Monthly!H525)-LN(Monthly!H524))</f>
        <v>0.58463529399270797</v>
      </c>
      <c r="D525" s="7">
        <v>-1.12855475028992</v>
      </c>
      <c r="E525" s="7" t="e">
        <f>100*(Monthly!#REF!-Monthly!#REF!)</f>
        <v>#REF!</v>
      </c>
      <c r="F525" s="7" t="e">
        <f>100*(Monthly!#REF!-Monthly!#REF!)</f>
        <v>#REF!</v>
      </c>
      <c r="G525" s="7">
        <v>0</v>
      </c>
    </row>
    <row r="526" spans="1:7" x14ac:dyDescent="0.3">
      <c r="A526" s="4">
        <v>38596</v>
      </c>
      <c r="B526" s="5" t="e">
        <f>Monthly!E526-Monthly!#REF!</f>
        <v>#REF!</v>
      </c>
      <c r="C526" s="7">
        <f>100*(LN(Monthly!H526)-LN(Monthly!H525))</f>
        <v>0.52600420718480478</v>
      </c>
      <c r="D526" s="7">
        <v>0.69249911211933801</v>
      </c>
      <c r="E526" s="7" t="e">
        <f>100*(Monthly!#REF!-Monthly!#REF!)</f>
        <v>#REF!</v>
      </c>
      <c r="F526" s="7" t="e">
        <f>100*(Monthly!#REF!-Monthly!#REF!)</f>
        <v>#REF!</v>
      </c>
      <c r="G526" s="7">
        <v>0</v>
      </c>
    </row>
    <row r="527" spans="1:7" x14ac:dyDescent="0.3">
      <c r="A527" s="4">
        <v>38626</v>
      </c>
      <c r="B527" s="5" t="e">
        <f>Monthly!E527-Monthly!#REF!</f>
        <v>#REF!</v>
      </c>
      <c r="C527" s="7">
        <f>100*(LN(Monthly!H527)-LN(Monthly!H526))</f>
        <v>1.3813631223717593</v>
      </c>
      <c r="D527" s="7">
        <v>-1.79000339063433</v>
      </c>
      <c r="E527" s="7" t="e">
        <f>100*(Monthly!#REF!-Monthly!#REF!)</f>
        <v>#REF!</v>
      </c>
      <c r="F527" s="7" t="e">
        <f>100*(Monthly!#REF!-Monthly!#REF!)</f>
        <v>#REF!</v>
      </c>
      <c r="G527" s="7">
        <v>0</v>
      </c>
    </row>
    <row r="528" spans="1:7" x14ac:dyDescent="0.3">
      <c r="A528" s="4">
        <v>38657</v>
      </c>
      <c r="B528" s="5" t="e">
        <f>Monthly!E528-Monthly!#REF!</f>
        <v>#REF!</v>
      </c>
      <c r="C528" s="7">
        <f>100*(LN(Monthly!H528)-LN(Monthly!H527))</f>
        <v>0.82051293414266979</v>
      </c>
      <c r="D528" s="7">
        <v>3.45812139547286</v>
      </c>
      <c r="E528" s="7" t="e">
        <f>100*(Monthly!#REF!-Monthly!#REF!)</f>
        <v>#REF!</v>
      </c>
      <c r="F528" s="7" t="e">
        <f>100*(Monthly!#REF!-Monthly!#REF!)</f>
        <v>#REF!</v>
      </c>
      <c r="G528" s="7">
        <v>0</v>
      </c>
    </row>
    <row r="529" spans="1:7" x14ac:dyDescent="0.3">
      <c r="A529" s="4">
        <v>38687</v>
      </c>
      <c r="B529" s="5" t="e">
        <f>Monthly!E529-Monthly!#REF!</f>
        <v>#REF!</v>
      </c>
      <c r="C529" s="7">
        <f>100*(LN(Monthly!H529)-LN(Monthly!H528))</f>
        <v>1.2896859440529873</v>
      </c>
      <c r="D529" s="7">
        <v>-9.5280308993041504E-2</v>
      </c>
      <c r="E529" s="7" t="e">
        <f>100*(Monthly!#REF!-Monthly!#REF!)</f>
        <v>#REF!</v>
      </c>
      <c r="F529" s="7" t="e">
        <f>100*(Monthly!#REF!-Monthly!#REF!)</f>
        <v>#REF!</v>
      </c>
      <c r="G529" s="7">
        <v>0</v>
      </c>
    </row>
    <row r="530" spans="1:7" x14ac:dyDescent="0.3">
      <c r="A530" s="4">
        <v>38718</v>
      </c>
      <c r="B530" s="5" t="e">
        <f>Monthly!E530-Monthly!#REF!</f>
        <v>#REF!</v>
      </c>
      <c r="C530" s="7">
        <f>100*(LN(Monthly!H530)-LN(Monthly!H529))</f>
        <v>1.1857735547063264</v>
      </c>
      <c r="D530" s="7">
        <v>2.5147895607579902</v>
      </c>
      <c r="E530" s="7" t="e">
        <f>100*(Monthly!#REF!-Monthly!#REF!)</f>
        <v>#REF!</v>
      </c>
      <c r="F530" s="7" t="e">
        <f>100*(Monthly!#REF!-Monthly!#REF!)</f>
        <v>#REF!</v>
      </c>
      <c r="G530" s="7">
        <v>0</v>
      </c>
    </row>
    <row r="531" spans="1:7" x14ac:dyDescent="0.3">
      <c r="A531" s="4">
        <v>38749</v>
      </c>
      <c r="B531" s="5" t="e">
        <f>Monthly!E531-Monthly!#REF!</f>
        <v>#REF!</v>
      </c>
      <c r="C531" s="7">
        <f>100*(LN(Monthly!H531)-LN(Monthly!H530))</f>
        <v>0.91055627009932749</v>
      </c>
      <c r="D531" s="7">
        <v>4.5305508340120502E-2</v>
      </c>
      <c r="E531" s="7" t="e">
        <f>100*(Monthly!#REF!-Monthly!#REF!)</f>
        <v>#REF!</v>
      </c>
      <c r="F531" s="7" t="e">
        <f>100*(Monthly!#REF!-Monthly!#REF!)</f>
        <v>#REF!</v>
      </c>
      <c r="G531" s="7">
        <v>0</v>
      </c>
    </row>
    <row r="532" spans="1:7" x14ac:dyDescent="0.3">
      <c r="A532" s="4">
        <v>38777</v>
      </c>
      <c r="B532" s="5" t="e">
        <f>Monthly!E532-Monthly!#REF!</f>
        <v>#REF!</v>
      </c>
      <c r="C532" s="7">
        <f>100*(LN(Monthly!H532)-LN(Monthly!H531))</f>
        <v>0.97162261642758097</v>
      </c>
      <c r="D532" s="7">
        <v>1.1034703509449899</v>
      </c>
      <c r="E532" s="7" t="e">
        <f>100*(Monthly!#REF!-Monthly!#REF!)</f>
        <v>#REF!</v>
      </c>
      <c r="F532" s="7" t="e">
        <f>100*(Monthly!#REF!-Monthly!#REF!)</f>
        <v>#REF!</v>
      </c>
      <c r="G532" s="7">
        <v>0</v>
      </c>
    </row>
    <row r="533" spans="1:7" x14ac:dyDescent="0.3">
      <c r="A533" s="4">
        <v>38808</v>
      </c>
      <c r="B533" s="5" t="e">
        <f>Monthly!E533-Monthly!#REF!</f>
        <v>#REF!</v>
      </c>
      <c r="C533" s="7">
        <f>100*(LN(Monthly!H533)-LN(Monthly!H532))</f>
        <v>1.5428808427810914</v>
      </c>
      <c r="D533" s="7">
        <v>1.20823662692256</v>
      </c>
      <c r="E533" s="7" t="e">
        <f>100*(Monthly!#REF!-Monthly!#REF!)</f>
        <v>#REF!</v>
      </c>
      <c r="F533" s="7" t="e">
        <f>100*(Monthly!#REF!-Monthly!#REF!)</f>
        <v>#REF!</v>
      </c>
      <c r="G533" s="7">
        <v>0</v>
      </c>
    </row>
    <row r="534" spans="1:7" x14ac:dyDescent="0.3">
      <c r="A534" s="4">
        <v>38838</v>
      </c>
      <c r="B534" s="5" t="e">
        <f>Monthly!E534-Monthly!#REF!</f>
        <v>#REF!</v>
      </c>
      <c r="C534" s="7">
        <f>100*(LN(Monthly!H534)-LN(Monthly!H533))</f>
        <v>1.6539589181324921</v>
      </c>
      <c r="D534" s="7">
        <v>-3.14049293203158</v>
      </c>
      <c r="E534" s="7" t="e">
        <f>100*(Monthly!#REF!-Monthly!#REF!)</f>
        <v>#REF!</v>
      </c>
      <c r="F534" s="7" t="e">
        <f>100*(Monthly!#REF!-Monthly!#REF!)</f>
        <v>#REF!</v>
      </c>
      <c r="G534" s="7">
        <v>0</v>
      </c>
    </row>
    <row r="535" spans="1:7" x14ac:dyDescent="0.3">
      <c r="A535" s="4">
        <v>38869</v>
      </c>
      <c r="B535" s="5" t="e">
        <f>Monthly!E535-Monthly!#REF!</f>
        <v>#REF!</v>
      </c>
      <c r="C535" s="7">
        <f>100*(LN(Monthly!H535)-LN(Monthly!H534))</f>
        <v>1.394910321586984</v>
      </c>
      <c r="D535" s="7">
        <v>8.6592755335113299E-3</v>
      </c>
      <c r="E535" s="7" t="e">
        <f>100*(Monthly!#REF!-Monthly!#REF!)</f>
        <v>#REF!</v>
      </c>
      <c r="F535" s="7" t="e">
        <f>100*(Monthly!#REF!-Monthly!#REF!)</f>
        <v>#REF!</v>
      </c>
      <c r="G535" s="7">
        <v>0</v>
      </c>
    </row>
    <row r="536" spans="1:7" x14ac:dyDescent="0.3">
      <c r="A536" s="4">
        <v>38899</v>
      </c>
      <c r="B536" s="5" t="e">
        <f>Monthly!E536-Monthly!#REF!</f>
        <v>#REF!</v>
      </c>
      <c r="C536" s="7">
        <f>100*(LN(Monthly!H536)-LN(Monthly!H535))</f>
        <v>1.0604952820632896</v>
      </c>
      <c r="D536" s="7">
        <v>0.50729894059884395</v>
      </c>
      <c r="E536" s="7" t="e">
        <f>100*(Monthly!#REF!-Monthly!#REF!)</f>
        <v>#REF!</v>
      </c>
      <c r="F536" s="7" t="e">
        <f>100*(Monthly!#REF!-Monthly!#REF!)</f>
        <v>#REF!</v>
      </c>
      <c r="G536" s="7">
        <v>0</v>
      </c>
    </row>
    <row r="537" spans="1:7" x14ac:dyDescent="0.3">
      <c r="A537" s="4">
        <v>38930</v>
      </c>
      <c r="B537" s="5" t="e">
        <f>Monthly!E537-Monthly!#REF!</f>
        <v>#REF!</v>
      </c>
      <c r="C537" s="7">
        <f>100*(LN(Monthly!H537)-LN(Monthly!H536))</f>
        <v>1.8374355913629792</v>
      </c>
      <c r="D537" s="7">
        <v>2.1051056620195001</v>
      </c>
      <c r="E537" s="7" t="e">
        <f>100*(Monthly!#REF!-Monthly!#REF!)</f>
        <v>#REF!</v>
      </c>
      <c r="F537" s="7" t="e">
        <f>100*(Monthly!#REF!-Monthly!#REF!)</f>
        <v>#REF!</v>
      </c>
      <c r="G537" s="7">
        <v>0</v>
      </c>
    </row>
    <row r="538" spans="1:7" x14ac:dyDescent="0.3">
      <c r="A538" s="4">
        <v>38961</v>
      </c>
      <c r="B538" s="5" t="e">
        <f>Monthly!E538-Monthly!#REF!</f>
        <v>#REF!</v>
      </c>
      <c r="C538" s="7">
        <f>100*(LN(Monthly!H538)-LN(Monthly!H537))</f>
        <v>-7.2674885766499386E-2</v>
      </c>
      <c r="D538" s="7">
        <v>2.42693991143096</v>
      </c>
      <c r="E538" s="7" t="e">
        <f>100*(Monthly!#REF!-Monthly!#REF!)</f>
        <v>#REF!</v>
      </c>
      <c r="F538" s="7" t="e">
        <f>100*(Monthly!#REF!-Monthly!#REF!)</f>
        <v>#REF!</v>
      </c>
      <c r="G538" s="7">
        <v>0</v>
      </c>
    </row>
    <row r="539" spans="1:7" x14ac:dyDescent="0.3">
      <c r="A539" s="4">
        <v>38991</v>
      </c>
      <c r="B539" s="5" t="e">
        <f>Monthly!E539-Monthly!#REF!</f>
        <v>#REF!</v>
      </c>
      <c r="C539" s="7">
        <f>100*(LN(Monthly!H539)-LN(Monthly!H538))</f>
        <v>0.92248028518477909</v>
      </c>
      <c r="D539" s="7">
        <v>3.1021812670560802</v>
      </c>
      <c r="E539" s="7" t="e">
        <f>100*(Monthly!#REF!-Monthly!#REF!)</f>
        <v>#REF!</v>
      </c>
      <c r="F539" s="7" t="e">
        <f>100*(Monthly!#REF!-Monthly!#REF!)</f>
        <v>#REF!</v>
      </c>
      <c r="G539" s="7">
        <v>0</v>
      </c>
    </row>
    <row r="540" spans="1:7" x14ac:dyDescent="0.3">
      <c r="A540" s="4">
        <v>39022</v>
      </c>
      <c r="B540" s="5" t="e">
        <f>Monthly!E540-Monthly!#REF!</f>
        <v>#REF!</v>
      </c>
      <c r="C540" s="7">
        <f>100*(LN(Monthly!H540)-LN(Monthly!H539))</f>
        <v>0.77030975820635561</v>
      </c>
      <c r="D540" s="7">
        <v>1.633255113123</v>
      </c>
      <c r="E540" s="7" t="e">
        <f>100*(Monthly!#REF!-Monthly!#REF!)</f>
        <v>#REF!</v>
      </c>
      <c r="F540" s="7" t="e">
        <f>100*(Monthly!#REF!-Monthly!#REF!)</f>
        <v>#REF!</v>
      </c>
      <c r="G540" s="7">
        <v>0</v>
      </c>
    </row>
    <row r="541" spans="1:7" x14ac:dyDescent="0.3">
      <c r="A541" s="4">
        <v>39052</v>
      </c>
      <c r="B541" s="5" t="e">
        <f>Monthly!E541-Monthly!#REF!</f>
        <v>#REF!</v>
      </c>
      <c r="C541" s="7">
        <f>100*(LN(Monthly!H541)-LN(Monthly!H540))</f>
        <v>1.043657292475153</v>
      </c>
      <c r="D541" s="7">
        <v>1.25368668579112</v>
      </c>
      <c r="E541" s="7" t="e">
        <f>100*(Monthly!#REF!-Monthly!#REF!)</f>
        <v>#REF!</v>
      </c>
      <c r="F541" s="7" t="e">
        <f>100*(Monthly!#REF!-Monthly!#REF!)</f>
        <v>#REF!</v>
      </c>
      <c r="G541" s="7">
        <v>0</v>
      </c>
    </row>
    <row r="542" spans="1:7" x14ac:dyDescent="0.3">
      <c r="A542" s="4">
        <v>39083</v>
      </c>
      <c r="B542" s="5" t="e">
        <f>Monthly!E542-Monthly!#REF!</f>
        <v>#REF!</v>
      </c>
      <c r="C542" s="7">
        <f>100*(LN(Monthly!H542)-LN(Monthly!H541))</f>
        <v>0.79901350163478213</v>
      </c>
      <c r="D542" s="7">
        <v>1.39611313073257</v>
      </c>
      <c r="E542" s="7" t="e">
        <f>100*(Monthly!#REF!-Monthly!#REF!)</f>
        <v>#REF!</v>
      </c>
      <c r="F542" s="7" t="e">
        <f>100*(Monthly!#REF!-Monthly!#REF!)</f>
        <v>#REF!</v>
      </c>
      <c r="G542" s="7">
        <v>0</v>
      </c>
    </row>
    <row r="543" spans="1:7" x14ac:dyDescent="0.3">
      <c r="A543" s="4">
        <v>39114</v>
      </c>
      <c r="B543" s="5" t="e">
        <f>Monthly!E543-Monthly!#REF!</f>
        <v>#REF!</v>
      </c>
      <c r="C543" s="7">
        <f>100*(LN(Monthly!H543)-LN(Monthly!H542))</f>
        <v>1.0481657158208257</v>
      </c>
      <c r="D543" s="7">
        <v>-2.2088337053376801</v>
      </c>
      <c r="E543" s="7" t="e">
        <f>100*(Monthly!#REF!-Monthly!#REF!)</f>
        <v>#REF!</v>
      </c>
      <c r="F543" s="7" t="e">
        <f>100*(Monthly!#REF!-Monthly!#REF!)</f>
        <v>#REF!</v>
      </c>
      <c r="G543" s="7">
        <v>0</v>
      </c>
    </row>
    <row r="544" spans="1:7" x14ac:dyDescent="0.3">
      <c r="A544" s="4">
        <v>39142</v>
      </c>
      <c r="B544" s="5" t="e">
        <f>Monthly!E544-Monthly!#REF!</f>
        <v>#REF!</v>
      </c>
      <c r="C544" s="7">
        <f>100*(LN(Monthly!H544)-LN(Monthly!H543))</f>
        <v>0.89244719983785359</v>
      </c>
      <c r="D544" s="7">
        <v>0.99305117846988</v>
      </c>
      <c r="E544" s="7" t="e">
        <f>100*(Monthly!#REF!-Monthly!#REF!)</f>
        <v>#REF!</v>
      </c>
      <c r="F544" s="7" t="e">
        <f>100*(Monthly!#REF!-Monthly!#REF!)</f>
        <v>#REF!</v>
      </c>
      <c r="G544" s="7">
        <v>0</v>
      </c>
    </row>
    <row r="545" spans="1:7" x14ac:dyDescent="0.3">
      <c r="A545" s="4">
        <v>39173</v>
      </c>
      <c r="B545" s="5" t="e">
        <f>Monthly!E545-Monthly!#REF!</f>
        <v>#REF!</v>
      </c>
      <c r="C545" s="7">
        <f>100*(LN(Monthly!H545)-LN(Monthly!H544))</f>
        <v>0.89939955422897455</v>
      </c>
      <c r="D545" s="7">
        <v>4.2379843253239597</v>
      </c>
      <c r="E545" s="7" t="e">
        <f>100*(Monthly!#REF!-Monthly!#REF!)</f>
        <v>#REF!</v>
      </c>
      <c r="F545" s="7" t="e">
        <f>100*(Monthly!#REF!-Monthly!#REF!)</f>
        <v>#REF!</v>
      </c>
      <c r="G545" s="7">
        <v>0</v>
      </c>
    </row>
    <row r="546" spans="1:7" x14ac:dyDescent="0.3">
      <c r="A546" s="4">
        <v>39203</v>
      </c>
      <c r="B546" s="5" t="e">
        <f>Monthly!E546-Monthly!#REF!</f>
        <v>#REF!</v>
      </c>
      <c r="C546" s="7">
        <f>100*(LN(Monthly!H546)-LN(Monthly!H545))</f>
        <v>1.4643329294329988</v>
      </c>
      <c r="D546" s="7">
        <v>3.2030723851896101</v>
      </c>
      <c r="E546" s="7" t="e">
        <f>100*(Monthly!#REF!-Monthly!#REF!)</f>
        <v>#REF!</v>
      </c>
      <c r="F546" s="7" t="e">
        <f>100*(Monthly!#REF!-Monthly!#REF!)</f>
        <v>#REF!</v>
      </c>
      <c r="G546" s="7">
        <v>0</v>
      </c>
    </row>
    <row r="547" spans="1:7" x14ac:dyDescent="0.3">
      <c r="A547" s="4">
        <v>39234</v>
      </c>
      <c r="B547" s="5" t="e">
        <f>Monthly!E547-Monthly!#REF!</f>
        <v>#REF!</v>
      </c>
      <c r="C547" s="7">
        <f>100*(LN(Monthly!H547)-LN(Monthly!H546))</f>
        <v>1.5309243707893216</v>
      </c>
      <c r="D547" s="7">
        <v>-1.7976943869676001</v>
      </c>
      <c r="E547" s="7" t="e">
        <f>100*(Monthly!#REF!-Monthly!#REF!)</f>
        <v>#REF!</v>
      </c>
      <c r="F547" s="7" t="e">
        <f>100*(Monthly!#REF!-Monthly!#REF!)</f>
        <v>#REF!</v>
      </c>
      <c r="G547" s="7">
        <v>0</v>
      </c>
    </row>
    <row r="548" spans="1:7" x14ac:dyDescent="0.3">
      <c r="A548" s="4">
        <v>39264</v>
      </c>
      <c r="B548" s="5" t="e">
        <f>Monthly!E548-Monthly!#REF!</f>
        <v>#REF!</v>
      </c>
      <c r="C548" s="7">
        <f>100*(LN(Monthly!H548)-LN(Monthly!H547))</f>
        <v>1.4087055328319664</v>
      </c>
      <c r="D548" s="7">
        <v>-3.25044711803648</v>
      </c>
      <c r="E548" s="7" t="e">
        <f>100*(Monthly!#REF!-Monthly!#REF!)</f>
        <v>#REF!</v>
      </c>
      <c r="F548" s="7" t="e">
        <f>100*(Monthly!#REF!-Monthly!#REF!)</f>
        <v>#REF!</v>
      </c>
      <c r="G548" s="7">
        <v>1</v>
      </c>
    </row>
    <row r="549" spans="1:7" x14ac:dyDescent="0.3">
      <c r="A549" s="4">
        <v>39295</v>
      </c>
      <c r="B549" s="5" t="e">
        <f>Monthly!E549-Monthly!#REF!</f>
        <v>#REF!</v>
      </c>
      <c r="C549" s="7">
        <f>100*(LN(Monthly!H549)-LN(Monthly!H548))</f>
        <v>1.9350603743834682</v>
      </c>
      <c r="D549" s="7">
        <v>1.2781539018930499</v>
      </c>
      <c r="E549" s="7" t="e">
        <f>100*(Monthly!#REF!-Monthly!#REF!)</f>
        <v>#REF!</v>
      </c>
      <c r="F549" s="7" t="e">
        <f>100*(Monthly!#REF!-Monthly!#REF!)</f>
        <v>#REF!</v>
      </c>
      <c r="G549" s="7">
        <v>1</v>
      </c>
    </row>
    <row r="550" spans="1:7" x14ac:dyDescent="0.3">
      <c r="A550" s="4">
        <v>39326</v>
      </c>
      <c r="B550" s="5" t="e">
        <f>Monthly!E550-Monthly!#REF!</f>
        <v>#REF!</v>
      </c>
      <c r="C550" s="7">
        <f>100*(LN(Monthly!H550)-LN(Monthly!H549))</f>
        <v>3.2147995497182613</v>
      </c>
      <c r="D550" s="7">
        <v>3.51682902627903</v>
      </c>
      <c r="E550" s="7" t="e">
        <f>100*(Monthly!#REF!-Monthly!#REF!)</f>
        <v>#REF!</v>
      </c>
      <c r="F550" s="7" t="e">
        <f>100*(Monthly!#REF!-Monthly!#REF!)</f>
        <v>#REF!</v>
      </c>
      <c r="G550" s="7">
        <v>0</v>
      </c>
    </row>
    <row r="551" spans="1:7" x14ac:dyDescent="0.3">
      <c r="A551" s="4">
        <v>39356</v>
      </c>
      <c r="B551" s="5" t="e">
        <f>Monthly!E551-Monthly!#REF!</f>
        <v>#REF!</v>
      </c>
      <c r="C551" s="7">
        <f>100*(LN(Monthly!H551)-LN(Monthly!H550))</f>
        <v>1.8682241202065519</v>
      </c>
      <c r="D551" s="7">
        <v>1.47135609401705</v>
      </c>
      <c r="E551" s="7" t="e">
        <f>100*(Monthly!#REF!-Monthly!#REF!)</f>
        <v>#REF!</v>
      </c>
      <c r="F551" s="7" t="e">
        <f>100*(Monthly!#REF!-Monthly!#REF!)</f>
        <v>#REF!</v>
      </c>
      <c r="G551" s="7">
        <v>0</v>
      </c>
    </row>
    <row r="552" spans="1:7" x14ac:dyDescent="0.3">
      <c r="A552" s="4">
        <v>39387</v>
      </c>
      <c r="B552" s="5" t="e">
        <f>Monthly!E552-Monthly!#REF!</f>
        <v>#REF!</v>
      </c>
      <c r="C552" s="7">
        <f>100*(LN(Monthly!H552)-LN(Monthly!H551))</f>
        <v>1.3975252484514478</v>
      </c>
      <c r="D552" s="7">
        <v>-4.50427826309034</v>
      </c>
      <c r="E552" s="7" t="e">
        <f>100*(Monthly!#REF!-Monthly!#REF!)</f>
        <v>#REF!</v>
      </c>
      <c r="F552" s="7" t="e">
        <f>100*(Monthly!#REF!-Monthly!#REF!)</f>
        <v>#REF!</v>
      </c>
      <c r="G552" s="7">
        <v>1</v>
      </c>
    </row>
    <row r="553" spans="1:7" x14ac:dyDescent="0.3">
      <c r="A553" s="4">
        <v>39417</v>
      </c>
      <c r="B553" s="5" t="e">
        <f>Monthly!E553-Monthly!#REF!</f>
        <v>#REF!</v>
      </c>
      <c r="C553" s="7">
        <f>100*(LN(Monthly!H553)-LN(Monthly!H552))</f>
        <v>1.6785415957418337</v>
      </c>
      <c r="D553" s="7">
        <v>-0.866594967082987</v>
      </c>
      <c r="E553" s="7" t="e">
        <f>100*(Monthly!#REF!-Monthly!#REF!)</f>
        <v>#REF!</v>
      </c>
      <c r="F553" s="7" t="e">
        <f>100*(Monthly!#REF!-Monthly!#REF!)</f>
        <v>#REF!</v>
      </c>
      <c r="G553" s="7">
        <v>1</v>
      </c>
    </row>
    <row r="554" spans="1:7" x14ac:dyDescent="0.3">
      <c r="A554" s="4">
        <v>39448</v>
      </c>
      <c r="B554" s="5" t="e">
        <f>Monthly!E554-Monthly!#REF!</f>
        <v>#REF!</v>
      </c>
      <c r="C554" s="7">
        <f>100*(LN(Monthly!H554)-LN(Monthly!H553))</f>
        <v>1.592275496376061</v>
      </c>
      <c r="D554" s="7">
        <v>-6.3113864206308499</v>
      </c>
      <c r="E554" s="7" t="e">
        <f>100*(Monthly!#REF!-Monthly!#REF!)</f>
        <v>#REF!</v>
      </c>
      <c r="F554" s="7" t="e">
        <f>100*(Monthly!#REF!-Monthly!#REF!)</f>
        <v>#REF!</v>
      </c>
      <c r="G554" s="7">
        <v>1</v>
      </c>
    </row>
    <row r="555" spans="1:7" x14ac:dyDescent="0.3">
      <c r="A555" s="4">
        <v>39479</v>
      </c>
      <c r="B555" s="5" t="e">
        <f>Monthly!E555-Monthly!#REF!</f>
        <v>#REF!</v>
      </c>
      <c r="C555" s="7">
        <f>100*(LN(Monthly!H555)-LN(Monthly!H554))</f>
        <v>0.55995424609180944</v>
      </c>
      <c r="D555" s="7">
        <v>-3.5379739592448001</v>
      </c>
      <c r="E555" s="7" t="e">
        <f>100*(Monthly!#REF!-Monthly!#REF!)</f>
        <v>#REF!</v>
      </c>
      <c r="F555" s="7" t="e">
        <f>100*(Monthly!#REF!-Monthly!#REF!)</f>
        <v>#REF!</v>
      </c>
      <c r="G555" s="7">
        <v>1</v>
      </c>
    </row>
    <row r="556" spans="1:7" x14ac:dyDescent="0.3">
      <c r="A556" s="4">
        <v>39508</v>
      </c>
      <c r="B556" s="5" t="e">
        <f>Monthly!E556-Monthly!#REF!</f>
        <v>#REF!</v>
      </c>
      <c r="C556" s="7">
        <f>100*(LN(Monthly!H556)-LN(Monthly!H555))</f>
        <v>1.487728981213543</v>
      </c>
      <c r="D556" s="7">
        <v>-0.59774528264186899</v>
      </c>
      <c r="E556" s="7" t="e">
        <f>100*(Monthly!#REF!-Monthly!#REF!)</f>
        <v>#REF!</v>
      </c>
      <c r="F556" s="7" t="e">
        <f>100*(Monthly!#REF!-Monthly!#REF!)</f>
        <v>#REF!</v>
      </c>
      <c r="G556" s="7">
        <v>1</v>
      </c>
    </row>
    <row r="557" spans="1:7" x14ac:dyDescent="0.3">
      <c r="A557" s="4">
        <v>39539</v>
      </c>
      <c r="B557" s="5" t="e">
        <f>Monthly!E557-Monthly!#REF!</f>
        <v>#REF!</v>
      </c>
      <c r="C557" s="7">
        <f>100*(LN(Monthly!H557)-LN(Monthly!H556))</f>
        <v>1.3251045240547654</v>
      </c>
      <c r="D557" s="7">
        <v>4.64509519075854</v>
      </c>
      <c r="E557" s="7" t="e">
        <f>100*(Monthly!#REF!-Monthly!#REF!)</f>
        <v>#REF!</v>
      </c>
      <c r="F557" s="7" t="e">
        <f>100*(Monthly!#REF!-Monthly!#REF!)</f>
        <v>#REF!</v>
      </c>
      <c r="G557" s="7">
        <v>1</v>
      </c>
    </row>
    <row r="558" spans="1:7" x14ac:dyDescent="0.3">
      <c r="A558" s="4">
        <v>39569</v>
      </c>
      <c r="B558" s="5" t="e">
        <f>Monthly!E558-Monthly!#REF!</f>
        <v>#REF!</v>
      </c>
      <c r="C558" s="7">
        <f>100*(LN(Monthly!H558)-LN(Monthly!H557))</f>
        <v>8.9304058128369945E-2</v>
      </c>
      <c r="D558" s="7">
        <v>1.0617614807393601</v>
      </c>
      <c r="E558" s="7" t="e">
        <f>100*(Monthly!#REF!-Monthly!#REF!)</f>
        <v>#REF!</v>
      </c>
      <c r="F558" s="7" t="e">
        <f>100*(Monthly!#REF!-Monthly!#REF!)</f>
        <v>#REF!</v>
      </c>
      <c r="G558" s="7">
        <v>0</v>
      </c>
    </row>
    <row r="559" spans="1:7" x14ac:dyDescent="0.3">
      <c r="A559" s="4">
        <v>39600</v>
      </c>
      <c r="B559" s="5" t="e">
        <f>Monthly!E559-Monthly!#REF!</f>
        <v>#REF!</v>
      </c>
      <c r="C559" s="7">
        <f>100*(LN(Monthly!H559)-LN(Monthly!H558))</f>
        <v>0.45335730756388415</v>
      </c>
      <c r="D559" s="7">
        <v>-8.9883553917822105</v>
      </c>
      <c r="E559" s="7" t="e">
        <f>100*(Monthly!#REF!-Monthly!#REF!)</f>
        <v>#REF!</v>
      </c>
      <c r="F559" s="7" t="e">
        <f>100*(Monthly!#REF!-Monthly!#REF!)</f>
        <v>#REF!</v>
      </c>
      <c r="G559" s="7">
        <v>1</v>
      </c>
    </row>
    <row r="560" spans="1:7" x14ac:dyDescent="0.3">
      <c r="A560" s="4">
        <v>39630</v>
      </c>
      <c r="B560" s="5" t="e">
        <f>Monthly!E560-Monthly!#REF!</f>
        <v>#REF!</v>
      </c>
      <c r="C560" s="7">
        <f>100*(LN(Monthly!H560)-LN(Monthly!H559))</f>
        <v>0.927472026562981</v>
      </c>
      <c r="D560" s="7">
        <v>-0.99082966337740597</v>
      </c>
      <c r="E560" s="7" t="e">
        <f>100*(Monthly!#REF!-Monthly!#REF!)</f>
        <v>#REF!</v>
      </c>
      <c r="F560" s="7" t="e">
        <f>100*(Monthly!#REF!-Monthly!#REF!)</f>
        <v>#REF!</v>
      </c>
      <c r="G560" s="7">
        <v>1</v>
      </c>
    </row>
    <row r="561" spans="1:7" x14ac:dyDescent="0.3">
      <c r="A561" s="4">
        <v>39661</v>
      </c>
      <c r="B561" s="5" t="e">
        <f>Monthly!E561-Monthly!#REF!</f>
        <v>#REF!</v>
      </c>
      <c r="C561" s="7">
        <f>100*(LN(Monthly!H561)-LN(Monthly!H560))</f>
        <v>3.9826335492065823E-2</v>
      </c>
      <c r="D561" s="7">
        <v>1.21167593514939</v>
      </c>
      <c r="E561" s="7" t="e">
        <f>100*(Monthly!#REF!-Monthly!#REF!)</f>
        <v>#REF!</v>
      </c>
      <c r="F561" s="7" t="e">
        <f>100*(Monthly!#REF!-Monthly!#REF!)</f>
        <v>#REF!</v>
      </c>
      <c r="G561" s="7">
        <v>1</v>
      </c>
    </row>
    <row r="562" spans="1:7" x14ac:dyDescent="0.3">
      <c r="A562" s="4">
        <v>39692</v>
      </c>
      <c r="B562" s="5" t="e">
        <f>Monthly!E562-Monthly!#REF!</f>
        <v>#REF!</v>
      </c>
      <c r="C562" s="7">
        <f>100*(LN(Monthly!H562)-LN(Monthly!H561))</f>
        <v>1.1524956260744013</v>
      </c>
      <c r="D562" s="7">
        <v>-9.5180765076943299</v>
      </c>
      <c r="E562" s="7" t="e">
        <f>100*(Monthly!#REF!-Monthly!#REF!)</f>
        <v>#REF!</v>
      </c>
      <c r="F562" s="7" t="e">
        <f>100*(Monthly!#REF!-Monthly!#REF!)</f>
        <v>#REF!</v>
      </c>
      <c r="G562" s="7">
        <v>1</v>
      </c>
    </row>
    <row r="563" spans="1:7" x14ac:dyDescent="0.3">
      <c r="A563" s="4">
        <v>39722</v>
      </c>
      <c r="B563" s="5" t="e">
        <f>Monthly!E563-Monthly!#REF!</f>
        <v>#REF!</v>
      </c>
      <c r="C563" s="7">
        <f>100*(LN(Monthly!H563)-LN(Monthly!H562))</f>
        <v>3.6260486574009043</v>
      </c>
      <c r="D563" s="7">
        <v>-18.563647388688199</v>
      </c>
      <c r="E563" s="7" t="e">
        <f>100*(Monthly!#REF!-Monthly!#REF!)</f>
        <v>#REF!</v>
      </c>
      <c r="F563" s="7" t="e">
        <f>100*(Monthly!#REF!-Monthly!#REF!)</f>
        <v>#REF!</v>
      </c>
      <c r="G563" s="7">
        <v>1</v>
      </c>
    </row>
    <row r="564" spans="1:7" x14ac:dyDescent="0.3">
      <c r="A564" s="4">
        <v>39753</v>
      </c>
      <c r="B564" s="5" t="e">
        <f>Monthly!E564-Monthly!#REF!</f>
        <v>#REF!</v>
      </c>
      <c r="C564" s="7">
        <f>100*(LN(Monthly!H564)-LN(Monthly!H563))</f>
        <v>-0.66933383299998539</v>
      </c>
      <c r="D564" s="7">
        <v>-7.7798357313305297</v>
      </c>
      <c r="E564" s="7" t="e">
        <f>100*(Monthly!#REF!-Monthly!#REF!)</f>
        <v>#REF!</v>
      </c>
      <c r="F564" s="7" t="e">
        <f>100*(Monthly!#REF!-Monthly!#REF!)</f>
        <v>#REF!</v>
      </c>
      <c r="G564" s="7">
        <v>1</v>
      </c>
    </row>
    <row r="565" spans="1:7" x14ac:dyDescent="0.3">
      <c r="A565" s="4">
        <v>39783</v>
      </c>
      <c r="B565" s="5" t="e">
        <f>Monthly!E565-Monthly!#REF!</f>
        <v>#REF!</v>
      </c>
      <c r="C565" s="7">
        <f>100*(LN(Monthly!H565)-LN(Monthly!H564))</f>
        <v>-1.0930402741350598</v>
      </c>
      <c r="D565" s="7">
        <v>0.77911466734982004</v>
      </c>
      <c r="E565" s="7" t="e">
        <f>100*(Monthly!#REF!-Monthly!#REF!)</f>
        <v>#REF!</v>
      </c>
      <c r="F565" s="7" t="e">
        <f>100*(Monthly!#REF!-Monthly!#REF!)</f>
        <v>#REF!</v>
      </c>
      <c r="G565" s="7">
        <v>1</v>
      </c>
    </row>
    <row r="566" spans="1:7" x14ac:dyDescent="0.3">
      <c r="A566" s="4">
        <v>39814</v>
      </c>
      <c r="B566" s="5" t="e">
        <f>Monthly!E566-Monthly!#REF!</f>
        <v>#REF!</v>
      </c>
      <c r="C566" s="7">
        <f>100*(LN(Monthly!H566)-LN(Monthly!H565))</f>
        <v>-0.94050150492206441</v>
      </c>
      <c r="D566" s="7">
        <v>-8.9549879598816808</v>
      </c>
      <c r="E566" s="7" t="e">
        <f>100*(Monthly!#REF!-Monthly!#REF!)</f>
        <v>#REF!</v>
      </c>
      <c r="F566" s="7" t="e">
        <f>100*(Monthly!#REF!-Monthly!#REF!)</f>
        <v>#REF!</v>
      </c>
      <c r="G566" s="7">
        <v>1</v>
      </c>
    </row>
    <row r="567" spans="1:7" x14ac:dyDescent="0.3">
      <c r="A567" s="4">
        <v>39845</v>
      </c>
      <c r="B567" s="5" t="e">
        <f>Monthly!E567-Monthly!#REF!</f>
        <v>#REF!</v>
      </c>
      <c r="C567" s="7">
        <f>100*(LN(Monthly!H567)-LN(Monthly!H566))</f>
        <v>-0.79011382945388675</v>
      </c>
      <c r="D567" s="7">
        <v>-11.645651319919001</v>
      </c>
      <c r="E567" s="7" t="e">
        <f>100*(Monthly!#REF!-Monthly!#REF!)</f>
        <v>#REF!</v>
      </c>
      <c r="F567" s="7" t="e">
        <f>100*(Monthly!#REF!-Monthly!#REF!)</f>
        <v>#REF!</v>
      </c>
      <c r="G567" s="7">
        <v>1</v>
      </c>
    </row>
    <row r="568" spans="1:7" x14ac:dyDescent="0.3">
      <c r="A568" s="4">
        <v>39873</v>
      </c>
      <c r="B568" s="5" t="e">
        <f>Monthly!E568-Monthly!#REF!</f>
        <v>#REF!</v>
      </c>
      <c r="C568" s="7">
        <f>100*(LN(Monthly!H568)-LN(Monthly!H567))</f>
        <v>-1.4082779447742944</v>
      </c>
      <c r="D568" s="7">
        <v>8.1952693561255696</v>
      </c>
      <c r="E568" s="7" t="e">
        <f>100*(Monthly!#REF!-Monthly!#REF!)</f>
        <v>#REF!</v>
      </c>
      <c r="F568" s="7" t="e">
        <f>100*(Monthly!#REF!-Monthly!#REF!)</f>
        <v>#REF!</v>
      </c>
      <c r="G568" s="7">
        <v>1</v>
      </c>
    </row>
    <row r="569" spans="1:7" x14ac:dyDescent="0.3">
      <c r="A569" s="4">
        <v>39904</v>
      </c>
      <c r="B569" s="5" t="e">
        <f>Monthly!E569-Monthly!#REF!</f>
        <v>#REF!</v>
      </c>
      <c r="C569" s="7">
        <f>100*(LN(Monthly!H569)-LN(Monthly!H568))</f>
        <v>-1.2899209670809597</v>
      </c>
      <c r="D569" s="7">
        <v>8.9772218243599706</v>
      </c>
      <c r="E569" s="7" t="e">
        <f>100*(Monthly!#REF!-Monthly!#REF!)</f>
        <v>#REF!</v>
      </c>
      <c r="F569" s="7" t="e">
        <f>100*(Monthly!#REF!-Monthly!#REF!)</f>
        <v>#REF!</v>
      </c>
      <c r="G569" s="7">
        <v>1</v>
      </c>
    </row>
    <row r="570" spans="1:7" x14ac:dyDescent="0.3">
      <c r="A570" s="4">
        <v>39934</v>
      </c>
      <c r="B570" s="5" t="e">
        <f>Monthly!E570-Monthly!#REF!</f>
        <v>#REF!</v>
      </c>
      <c r="C570" s="7">
        <f>100*(LN(Monthly!H570)-LN(Monthly!H569))</f>
        <v>-1.4813598899302782</v>
      </c>
      <c r="D570" s="7">
        <v>5.1720577155173997</v>
      </c>
      <c r="E570" s="7" t="e">
        <f>100*(Monthly!#REF!-Monthly!#REF!)</f>
        <v>#REF!</v>
      </c>
      <c r="F570" s="7" t="e">
        <f>100*(Monthly!#REF!-Monthly!#REF!)</f>
        <v>#REF!</v>
      </c>
      <c r="G570" s="7">
        <v>1</v>
      </c>
    </row>
    <row r="571" spans="1:7" x14ac:dyDescent="0.3">
      <c r="A571" s="4">
        <v>39965</v>
      </c>
      <c r="B571" s="5" t="e">
        <f>Monthly!E571-Monthly!#REF!</f>
        <v>#REF!</v>
      </c>
      <c r="C571" s="7">
        <f>100*(LN(Monthly!H571)-LN(Monthly!H570))</f>
        <v>-2.2966701187239202</v>
      </c>
      <c r="D571" s="7">
        <v>1.9580809395382901E-2</v>
      </c>
      <c r="E571" s="7" t="e">
        <f>100*(Monthly!#REF!-Monthly!#REF!)</f>
        <v>#REF!</v>
      </c>
      <c r="F571" s="7" t="e">
        <f>100*(Monthly!#REF!-Monthly!#REF!)</f>
        <v>#REF!</v>
      </c>
      <c r="G571" s="7">
        <v>1</v>
      </c>
    </row>
    <row r="572" spans="1:7" x14ac:dyDescent="0.3">
      <c r="A572" s="4">
        <v>39995</v>
      </c>
      <c r="B572" s="5" t="e">
        <f>Monthly!E572-Monthly!#REF!</f>
        <v>#REF!</v>
      </c>
      <c r="C572" s="7">
        <f>100*(LN(Monthly!H572)-LN(Monthly!H571))</f>
        <v>-2.8866794323234579</v>
      </c>
      <c r="D572" s="7">
        <v>7.1521949343014199</v>
      </c>
      <c r="E572" s="7" t="e">
        <f>100*(Monthly!#REF!-Monthly!#REF!)</f>
        <v>#REF!</v>
      </c>
      <c r="F572" s="7" t="e">
        <f>100*(Monthly!#REF!-Monthly!#REF!)</f>
        <v>#REF!</v>
      </c>
      <c r="G572" s="7">
        <v>1</v>
      </c>
    </row>
    <row r="573" spans="1:7" x14ac:dyDescent="0.3">
      <c r="A573" s="4">
        <v>40026</v>
      </c>
      <c r="B573" s="5" t="e">
        <f>Monthly!E573-Monthly!#REF!</f>
        <v>#REF!</v>
      </c>
      <c r="C573" s="7">
        <f>100*(LN(Monthly!H573)-LN(Monthly!H572))</f>
        <v>-2.3604767501235635</v>
      </c>
      <c r="D573" s="7">
        <v>3.30093363428553</v>
      </c>
      <c r="E573" s="7" t="e">
        <f>100*(Monthly!#REF!-Monthly!#REF!)</f>
        <v>#REF!</v>
      </c>
      <c r="F573" s="7" t="e">
        <f>100*(Monthly!#REF!-Monthly!#REF!)</f>
        <v>#REF!</v>
      </c>
      <c r="G573" s="7">
        <v>0</v>
      </c>
    </row>
    <row r="574" spans="1:7" x14ac:dyDescent="0.3">
      <c r="A574" s="4">
        <v>40057</v>
      </c>
      <c r="B574" s="5" t="e">
        <f>Monthly!E574-Monthly!#REF!</f>
        <v>#REF!</v>
      </c>
      <c r="C574" s="7">
        <f>100*(LN(Monthly!H574)-LN(Monthly!H573))</f>
        <v>-1.8948917827172451</v>
      </c>
      <c r="D574" s="7">
        <v>3.5100067367746299</v>
      </c>
      <c r="E574" s="7" t="e">
        <f>100*(Monthly!#REF!-Monthly!#REF!)</f>
        <v>#REF!</v>
      </c>
      <c r="F574" s="7" t="e">
        <f>100*(Monthly!#REF!-Monthly!#REF!)</f>
        <v>#REF!</v>
      </c>
      <c r="G574" s="7">
        <v>0</v>
      </c>
    </row>
    <row r="575" spans="1:7" x14ac:dyDescent="0.3">
      <c r="A575" s="4">
        <v>40087</v>
      </c>
      <c r="B575" s="5" t="e">
        <f>Monthly!E575-Monthly!#REF!</f>
        <v>#REF!</v>
      </c>
      <c r="C575" s="7">
        <f>100*(LN(Monthly!H575)-LN(Monthly!H574))</f>
        <v>-2.2044081493424628</v>
      </c>
      <c r="D575" s="7">
        <v>-1.9959880197119499</v>
      </c>
      <c r="E575" s="7" t="e">
        <f>100*(Monthly!#REF!-Monthly!#REF!)</f>
        <v>#REF!</v>
      </c>
      <c r="F575" s="7" t="e">
        <f>100*(Monthly!#REF!-Monthly!#REF!)</f>
        <v>#REF!</v>
      </c>
      <c r="G575" s="7">
        <v>1</v>
      </c>
    </row>
    <row r="576" spans="1:7" x14ac:dyDescent="0.3">
      <c r="A576" s="4">
        <v>40118</v>
      </c>
      <c r="B576" s="5" t="e">
        <f>Monthly!E576-Monthly!#REF!</f>
        <v>#REF!</v>
      </c>
      <c r="C576" s="7">
        <f>100*(LN(Monthly!H576)-LN(Monthly!H575))</f>
        <v>-1.3468820555298855</v>
      </c>
      <c r="D576" s="7">
        <v>5.5779076586737197</v>
      </c>
      <c r="E576" s="7" t="e">
        <f>100*(Monthly!#REF!-Monthly!#REF!)</f>
        <v>#REF!</v>
      </c>
      <c r="F576" s="7" t="e">
        <f>100*(Monthly!#REF!-Monthly!#REF!)</f>
        <v>#REF!</v>
      </c>
      <c r="G576" s="7">
        <v>0</v>
      </c>
    </row>
    <row r="577" spans="1:7" x14ac:dyDescent="0.3">
      <c r="A577" s="4">
        <v>40148</v>
      </c>
      <c r="B577" s="5" t="e">
        <f>Monthly!E577-Monthly!#REF!</f>
        <v>#REF!</v>
      </c>
      <c r="C577" s="7">
        <f>100*(LN(Monthly!H577)-LN(Monthly!H576))</f>
        <v>-1.9637234808485893</v>
      </c>
      <c r="D577" s="7">
        <v>1.76145203503</v>
      </c>
      <c r="E577" s="7" t="e">
        <f>100*(Monthly!#REF!-Monthly!#REF!)</f>
        <v>#REF!</v>
      </c>
      <c r="F577" s="7" t="e">
        <f>100*(Monthly!#REF!-Monthly!#REF!)</f>
        <v>#REF!</v>
      </c>
      <c r="G577" s="7">
        <v>0</v>
      </c>
    </row>
    <row r="578" spans="1:7" x14ac:dyDescent="0.3">
      <c r="A578" s="4">
        <v>40179</v>
      </c>
      <c r="B578" s="5" t="e">
        <f>Monthly!E578-Monthly!#REF!</f>
        <v>#REF!</v>
      </c>
      <c r="C578" s="7">
        <f>100*(LN(Monthly!H578)-LN(Monthly!H577))</f>
        <v>-2.161187473726045</v>
      </c>
      <c r="D578" s="7">
        <v>-3.7675123712194698</v>
      </c>
      <c r="E578" s="7" t="e">
        <f>100*(Monthly!#REF!-Monthly!#REF!)</f>
        <v>#REF!</v>
      </c>
      <c r="F578" s="7" t="e">
        <f>100*(Monthly!#REF!-Monthly!#REF!)</f>
        <v>#REF!</v>
      </c>
      <c r="G578" s="7">
        <v>0</v>
      </c>
    </row>
    <row r="579" spans="1:7" x14ac:dyDescent="0.3">
      <c r="A579" s="4">
        <v>40210</v>
      </c>
      <c r="B579" s="5" t="e">
        <f>Monthly!E579-Monthly!#REF!</f>
        <v>#REF!</v>
      </c>
      <c r="C579" s="7">
        <f>100*(LN(Monthly!H579)-LN(Monthly!H578))</f>
        <v>-1.2311193825942368</v>
      </c>
      <c r="D579" s="7">
        <v>2.81147397418404</v>
      </c>
      <c r="E579" s="7" t="e">
        <f>100*(Monthly!#REF!-Monthly!#REF!)</f>
        <v>#REF!</v>
      </c>
      <c r="F579" s="7" t="e">
        <f>100*(Monthly!#REF!-Monthly!#REF!)</f>
        <v>#REF!</v>
      </c>
      <c r="G579" s="7">
        <v>1</v>
      </c>
    </row>
    <row r="580" spans="1:7" x14ac:dyDescent="0.3">
      <c r="A580" s="4">
        <v>40238</v>
      </c>
      <c r="B580" s="5" t="e">
        <f>Monthly!E580-Monthly!#REF!</f>
        <v>#REF!</v>
      </c>
      <c r="C580" s="7">
        <f>100*(LN(Monthly!H580)-LN(Monthly!H579))</f>
        <v>-1.1199035762781584</v>
      </c>
      <c r="D580" s="7">
        <v>5.7132815416392599</v>
      </c>
      <c r="E580" s="7" t="e">
        <f>100*(Monthly!#REF!-Monthly!#REF!)</f>
        <v>#REF!</v>
      </c>
      <c r="F580" s="7" t="e">
        <f>100*(Monthly!#REF!-Monthly!#REF!)</f>
        <v>#REF!</v>
      </c>
      <c r="G580" s="7">
        <v>0</v>
      </c>
    </row>
    <row r="581" spans="1:7" x14ac:dyDescent="0.3">
      <c r="A581" s="4">
        <v>40269</v>
      </c>
      <c r="B581" s="5" t="e">
        <f>Monthly!E581-Monthly!#REF!</f>
        <v>#REF!</v>
      </c>
      <c r="C581" s="7">
        <f>100*(LN(Monthly!H581)-LN(Monthly!H580))</f>
        <v>-0.18202238290756512</v>
      </c>
      <c r="D581" s="7">
        <v>1.46513730069184</v>
      </c>
      <c r="E581" s="7" t="e">
        <f>100*(Monthly!#REF!-Monthly!#REF!)</f>
        <v>#REF!</v>
      </c>
      <c r="F581" s="7" t="e">
        <f>100*(Monthly!#REF!-Monthly!#REF!)</f>
        <v>#REF!</v>
      </c>
      <c r="G581" s="7">
        <v>0</v>
      </c>
    </row>
    <row r="582" spans="1:7" x14ac:dyDescent="0.3">
      <c r="A582" s="4">
        <v>40299</v>
      </c>
      <c r="B582" s="5" t="e">
        <f>Monthly!E582-Monthly!#REF!</f>
        <v>#REF!</v>
      </c>
      <c r="C582" s="7">
        <f>100*(LN(Monthly!H582)-LN(Monthly!H581))</f>
        <v>-0.88347065090133015</v>
      </c>
      <c r="D582" s="7">
        <v>-8.5531572883490607</v>
      </c>
      <c r="E582" s="7" t="e">
        <f>100*(Monthly!#REF!-Monthly!#REF!)</f>
        <v>#REF!</v>
      </c>
      <c r="F582" s="7" t="e">
        <f>100*(Monthly!#REF!-Monthly!#REF!)</f>
        <v>#REF!</v>
      </c>
      <c r="G582" s="7">
        <v>1</v>
      </c>
    </row>
    <row r="583" spans="1:7" x14ac:dyDescent="0.3">
      <c r="A583" s="4">
        <v>40330</v>
      </c>
      <c r="B583" s="5" t="e">
        <f>Monthly!E583-Monthly!#REF!</f>
        <v>#REF!</v>
      </c>
      <c r="C583" s="7">
        <f>100*(LN(Monthly!H583)-LN(Monthly!H582))</f>
        <v>-0.5675006147265016</v>
      </c>
      <c r="D583" s="7">
        <v>-5.5388449405503701</v>
      </c>
      <c r="E583" s="7" t="e">
        <f>100*(Monthly!#REF!-Monthly!#REF!)</f>
        <v>#REF!</v>
      </c>
      <c r="F583" s="7" t="e">
        <f>100*(Monthly!#REF!-Monthly!#REF!)</f>
        <v>#REF!</v>
      </c>
      <c r="G583" s="7">
        <v>1</v>
      </c>
    </row>
    <row r="584" spans="1:7" x14ac:dyDescent="0.3">
      <c r="A584" s="4">
        <v>40360</v>
      </c>
      <c r="B584" s="5" t="e">
        <f>Monthly!E584-Monthly!#REF!</f>
        <v>#REF!</v>
      </c>
      <c r="C584" s="7">
        <f>100*(LN(Monthly!H584)-LN(Monthly!H583))</f>
        <v>-9.4192277977622751E-2</v>
      </c>
      <c r="D584" s="7">
        <v>6.6515799010856904</v>
      </c>
      <c r="E584" s="7" t="e">
        <f>100*(Monthly!#REF!-Monthly!#REF!)</f>
        <v>#REF!</v>
      </c>
      <c r="F584" s="7" t="e">
        <f>100*(Monthly!#REF!-Monthly!#REF!)</f>
        <v>#REF!</v>
      </c>
      <c r="G584" s="7">
        <v>1</v>
      </c>
    </row>
    <row r="585" spans="1:7" x14ac:dyDescent="0.3">
      <c r="A585" s="4">
        <v>40391</v>
      </c>
      <c r="B585" s="5" t="e">
        <f>Monthly!E585-Monthly!#REF!</f>
        <v>#REF!</v>
      </c>
      <c r="C585" s="7">
        <f>100*(LN(Monthly!H585)-LN(Monthly!H584))</f>
        <v>-0.13109207654480315</v>
      </c>
      <c r="D585" s="7">
        <v>-4.8611822887418796</v>
      </c>
      <c r="E585" s="7" t="e">
        <f>100*(Monthly!#REF!-Monthly!#REF!)</f>
        <v>#REF!</v>
      </c>
      <c r="F585" s="7" t="e">
        <f>100*(Monthly!#REF!-Monthly!#REF!)</f>
        <v>#REF!</v>
      </c>
      <c r="G585" s="7">
        <v>1</v>
      </c>
    </row>
    <row r="586" spans="1:7" x14ac:dyDescent="0.3">
      <c r="A586" s="4">
        <v>40422</v>
      </c>
      <c r="B586" s="5" t="e">
        <f>Monthly!E586-Monthly!#REF!</f>
        <v>#REF!</v>
      </c>
      <c r="C586" s="7">
        <f>100*(LN(Monthly!H586)-LN(Monthly!H585))</f>
        <v>-0.14683987260397657</v>
      </c>
      <c r="D586" s="7">
        <v>8.3928474188034006</v>
      </c>
      <c r="E586" s="7" t="e">
        <f>100*(Monthly!#REF!-Monthly!#REF!)</f>
        <v>#REF!</v>
      </c>
      <c r="F586" s="7" t="e">
        <f>100*(Monthly!#REF!-Monthly!#REF!)</f>
        <v>#REF!</v>
      </c>
      <c r="G586" s="7">
        <v>0</v>
      </c>
    </row>
    <row r="587" spans="1:7" x14ac:dyDescent="0.3">
      <c r="A587" s="4">
        <v>40452</v>
      </c>
      <c r="B587" s="5" t="e">
        <f>Monthly!E587-Monthly!#REF!</f>
        <v>#REF!</v>
      </c>
      <c r="C587" s="7">
        <f>100*(LN(Monthly!H587)-LN(Monthly!H586))</f>
        <v>-4.4193601420072781E-2</v>
      </c>
      <c r="D587" s="7">
        <v>3.6193051750490701</v>
      </c>
      <c r="E587" s="7" t="e">
        <f>100*(Monthly!#REF!-Monthly!#REF!)</f>
        <v>#REF!</v>
      </c>
      <c r="F587" s="7" t="e">
        <f>100*(Monthly!#REF!-Monthly!#REF!)</f>
        <v>#REF!</v>
      </c>
      <c r="G587" s="7">
        <v>0</v>
      </c>
    </row>
    <row r="588" spans="1:7" x14ac:dyDescent="0.3">
      <c r="A588" s="4">
        <v>40483</v>
      </c>
      <c r="B588" s="5" t="e">
        <f>Monthly!E588-Monthly!#REF!</f>
        <v>#REF!</v>
      </c>
      <c r="C588" s="7">
        <f>100*(LN(Monthly!H588)-LN(Monthly!H587))</f>
        <v>0.19424192439201349</v>
      </c>
      <c r="D588" s="7">
        <v>-0.229287637972444</v>
      </c>
      <c r="E588" s="7" t="e">
        <f>100*(Monthly!#REF!-Monthly!#REF!)</f>
        <v>#REF!</v>
      </c>
      <c r="F588" s="7" t="e">
        <f>100*(Monthly!#REF!-Monthly!#REF!)</f>
        <v>#REF!</v>
      </c>
      <c r="G588" s="7">
        <v>0</v>
      </c>
    </row>
    <row r="589" spans="1:7" x14ac:dyDescent="0.3">
      <c r="A589" s="4">
        <v>40513</v>
      </c>
      <c r="B589" s="5" t="e">
        <f>Monthly!E589-Monthly!#REF!</f>
        <v>#REF!</v>
      </c>
      <c r="C589" s="7">
        <f>100*(LN(Monthly!H589)-LN(Monthly!H588))</f>
        <v>0.4363656243149272</v>
      </c>
      <c r="D589" s="7">
        <v>6.3256487508998003</v>
      </c>
      <c r="E589" s="7" t="e">
        <f>100*(Monthly!#REF!-Monthly!#REF!)</f>
        <v>#REF!</v>
      </c>
      <c r="F589" s="7" t="e">
        <f>100*(Monthly!#REF!-Monthly!#REF!)</f>
        <v>#REF!</v>
      </c>
      <c r="G589" s="7">
        <v>0</v>
      </c>
    </row>
    <row r="590" spans="1:7" x14ac:dyDescent="0.3">
      <c r="A590" s="4">
        <v>40544</v>
      </c>
      <c r="B590" s="5" t="e">
        <f>Monthly!E590-Monthly!#REF!</f>
        <v>#REF!</v>
      </c>
      <c r="C590" s="7">
        <f>100*(LN(Monthly!H590)-LN(Monthly!H589))</f>
        <v>0.2707655049486668</v>
      </c>
      <c r="D590" s="7">
        <v>2.23929698124121</v>
      </c>
      <c r="E590" s="7" t="e">
        <f>100*(Monthly!#REF!-Monthly!#REF!)</f>
        <v>#REF!</v>
      </c>
      <c r="F590" s="7" t="e">
        <f>100*(Monthly!#REF!-Monthly!#REF!)</f>
        <v>#REF!</v>
      </c>
      <c r="G590" s="7">
        <v>0</v>
      </c>
    </row>
    <row r="591" spans="1:7" x14ac:dyDescent="0.3">
      <c r="A591" s="4">
        <v>40575</v>
      </c>
      <c r="B591" s="5" t="e">
        <f>Monthly!E591-Monthly!#REF!</f>
        <v>#REF!</v>
      </c>
      <c r="C591" s="7">
        <f>100*(LN(Monthly!H591)-LN(Monthly!H590))</f>
        <v>0.30155954290806974</v>
      </c>
      <c r="D591" s="7">
        <v>3.1456576762824602</v>
      </c>
      <c r="E591" s="7" t="e">
        <f>100*(Monthly!#REF!-Monthly!#REF!)</f>
        <v>#REF!</v>
      </c>
      <c r="F591" s="7" t="e">
        <f>100*(Monthly!#REF!-Monthly!#REF!)</f>
        <v>#REF!</v>
      </c>
      <c r="G591" s="7">
        <v>0</v>
      </c>
    </row>
    <row r="592" spans="1:7" x14ac:dyDescent="0.3">
      <c r="A592" s="4">
        <v>40603</v>
      </c>
      <c r="B592" s="5" t="e">
        <f>Monthly!E592-Monthly!#REF!</f>
        <v>#REF!</v>
      </c>
      <c r="C592" s="7">
        <f>100*(LN(Monthly!H592)-LN(Monthly!H591))</f>
        <v>0.57308828827702385</v>
      </c>
      <c r="D592" s="7">
        <v>-0.104786175458388</v>
      </c>
      <c r="E592" s="7" t="e">
        <f>100*(Monthly!#REF!-Monthly!#REF!)</f>
        <v>#REF!</v>
      </c>
      <c r="F592" s="7" t="e">
        <f>100*(Monthly!#REF!-Monthly!#REF!)</f>
        <v>#REF!</v>
      </c>
      <c r="G592" s="7">
        <v>0</v>
      </c>
    </row>
    <row r="593" spans="1:7" x14ac:dyDescent="0.3">
      <c r="A593" s="4">
        <v>40634</v>
      </c>
      <c r="B593" s="5" t="e">
        <f>Monthly!E593-Monthly!#REF!</f>
        <v>#REF!</v>
      </c>
      <c r="C593" s="7">
        <f>100*(LN(Monthly!H593)-LN(Monthly!H592))</f>
        <v>0.69989167961930221</v>
      </c>
      <c r="D593" s="7">
        <v>2.8096938770245199</v>
      </c>
      <c r="E593" s="7" t="e">
        <f>100*(Monthly!#REF!-Monthly!#REF!)</f>
        <v>#REF!</v>
      </c>
      <c r="F593" s="7" t="e">
        <f>100*(Monthly!#REF!-Monthly!#REF!)</f>
        <v>#REF!</v>
      </c>
      <c r="G593" s="7">
        <v>0</v>
      </c>
    </row>
    <row r="594" spans="1:7" x14ac:dyDescent="0.3">
      <c r="A594" s="4">
        <v>40664</v>
      </c>
      <c r="B594" s="5" t="e">
        <f>Monthly!E594-Monthly!#REF!</f>
        <v>#REF!</v>
      </c>
      <c r="C594" s="7">
        <f>100*(LN(Monthly!H594)-LN(Monthly!H593))</f>
        <v>1.1574886011261221</v>
      </c>
      <c r="D594" s="7">
        <v>-1.3592919455284</v>
      </c>
      <c r="E594" s="7" t="e">
        <f>100*(Monthly!#REF!-Monthly!#REF!)</f>
        <v>#REF!</v>
      </c>
      <c r="F594" s="7" t="e">
        <f>100*(Monthly!#REF!-Monthly!#REF!)</f>
        <v>#REF!</v>
      </c>
      <c r="G594" s="7">
        <v>0</v>
      </c>
    </row>
    <row r="595" spans="1:7" x14ac:dyDescent="0.3">
      <c r="A595" s="4">
        <v>40695</v>
      </c>
      <c r="B595" s="5" t="e">
        <f>Monthly!E595-Monthly!#REF!</f>
        <v>#REF!</v>
      </c>
      <c r="C595" s="7">
        <f>100*(LN(Monthly!H595)-LN(Monthly!H594))</f>
        <v>0.37075053746518094</v>
      </c>
      <c r="D595" s="7">
        <v>-1.84261859119325</v>
      </c>
      <c r="E595" s="7" t="e">
        <f>100*(Monthly!#REF!-Monthly!#REF!)</f>
        <v>#REF!</v>
      </c>
      <c r="F595" s="7" t="e">
        <f>100*(Monthly!#REF!-Monthly!#REF!)</f>
        <v>#REF!</v>
      </c>
      <c r="G595" s="7">
        <v>1</v>
      </c>
    </row>
    <row r="596" spans="1:7" x14ac:dyDescent="0.3">
      <c r="A596" s="4">
        <v>40725</v>
      </c>
      <c r="B596" s="5" t="e">
        <f>Monthly!E596-Monthly!#REF!</f>
        <v>#REF!</v>
      </c>
      <c r="C596" s="7">
        <f>100*(LN(Monthly!H596)-LN(Monthly!H595))</f>
        <v>0.86416957781123571</v>
      </c>
      <c r="D596" s="7">
        <v>-2.1708355856663801</v>
      </c>
      <c r="E596" s="7" t="e">
        <f>100*(Monthly!#REF!-Monthly!#REF!)</f>
        <v>#REF!</v>
      </c>
      <c r="F596" s="7" t="e">
        <f>100*(Monthly!#REF!-Monthly!#REF!)</f>
        <v>#REF!</v>
      </c>
      <c r="G596" s="7">
        <v>0</v>
      </c>
    </row>
    <row r="597" spans="1:7" x14ac:dyDescent="0.3">
      <c r="A597" s="4">
        <v>40756</v>
      </c>
      <c r="B597" s="5" t="e">
        <f>Monthly!E597-Monthly!#REF!</f>
        <v>#REF!</v>
      </c>
      <c r="C597" s="7">
        <f>100*(LN(Monthly!H597)-LN(Monthly!H596))</f>
        <v>1.4958710424775035</v>
      </c>
      <c r="D597" s="7">
        <v>-5.8467502271956802</v>
      </c>
      <c r="E597" s="7" t="e">
        <f>100*(Monthly!#REF!-Monthly!#REF!)</f>
        <v>#REF!</v>
      </c>
      <c r="F597" s="7" t="e">
        <f>100*(Monthly!#REF!-Monthly!#REF!)</f>
        <v>#REF!</v>
      </c>
      <c r="G597" s="7">
        <v>1</v>
      </c>
    </row>
    <row r="598" spans="1:7" x14ac:dyDescent="0.3">
      <c r="A598" s="4">
        <v>40787</v>
      </c>
      <c r="B598" s="5" t="e">
        <f>Monthly!E598-Monthly!#REF!</f>
        <v>#REF!</v>
      </c>
      <c r="C598" s="7">
        <f>100*(LN(Monthly!H598)-LN(Monthly!H597))</f>
        <v>0.51447514847025033</v>
      </c>
      <c r="D598" s="7">
        <v>-7.4467100719785702</v>
      </c>
      <c r="E598" s="7" t="e">
        <f>100*(Monthly!#REF!-Monthly!#REF!)</f>
        <v>#REF!</v>
      </c>
      <c r="F598" s="7" t="e">
        <f>100*(Monthly!#REF!-Monthly!#REF!)</f>
        <v>#REF!</v>
      </c>
      <c r="G598" s="7">
        <v>1</v>
      </c>
    </row>
    <row r="599" spans="1:7" x14ac:dyDescent="0.3">
      <c r="A599" s="4">
        <v>40817</v>
      </c>
      <c r="B599" s="5" t="e">
        <f>Monthly!E599-Monthly!#REF!</f>
        <v>#REF!</v>
      </c>
      <c r="C599" s="7">
        <f>100*(LN(Monthly!H599)-LN(Monthly!H598))</f>
        <v>0.84697056617404343</v>
      </c>
      <c r="D599" s="7">
        <v>10.230659176938801</v>
      </c>
      <c r="E599" s="7" t="e">
        <f>100*(Monthly!#REF!-Monthly!#REF!)</f>
        <v>#REF!</v>
      </c>
      <c r="F599" s="7" t="e">
        <f>100*(Monthly!#REF!-Monthly!#REF!)</f>
        <v>#REF!</v>
      </c>
      <c r="G599" s="7">
        <v>1</v>
      </c>
    </row>
    <row r="600" spans="1:7" x14ac:dyDescent="0.3">
      <c r="A600" s="4">
        <v>40848</v>
      </c>
      <c r="B600" s="5" t="e">
        <f>Monthly!E600-Monthly!#REF!</f>
        <v>#REF!</v>
      </c>
      <c r="C600" s="7">
        <f>100*(LN(Monthly!H600)-LN(Monthly!H599))</f>
        <v>0.99761717995336952</v>
      </c>
      <c r="D600" s="7">
        <v>-0.50715537225125296</v>
      </c>
      <c r="E600" s="7" t="e">
        <f>100*(Monthly!#REF!-Monthly!#REF!)</f>
        <v>#REF!</v>
      </c>
      <c r="F600" s="7" t="e">
        <f>100*(Monthly!#REF!-Monthly!#REF!)</f>
        <v>#REF!</v>
      </c>
      <c r="G600" s="7">
        <v>1</v>
      </c>
    </row>
    <row r="601" spans="1:7" x14ac:dyDescent="0.3">
      <c r="A601" s="4">
        <v>40878</v>
      </c>
      <c r="B601" s="5" t="e">
        <f>Monthly!E601-Monthly!#REF!</f>
        <v>#REF!</v>
      </c>
      <c r="C601" s="7">
        <f>100*(LN(Monthly!H601)-LN(Monthly!H600))</f>
        <v>0.83191526160746321</v>
      </c>
      <c r="D601" s="7">
        <v>0.84965654071145102</v>
      </c>
      <c r="E601" s="7" t="e">
        <f>100*(Monthly!#REF!-Monthly!#REF!)</f>
        <v>#REF!</v>
      </c>
      <c r="F601" s="7" t="e">
        <f>100*(Monthly!#REF!-Monthly!#REF!)</f>
        <v>#REF!</v>
      </c>
      <c r="G601" s="7">
        <v>1</v>
      </c>
    </row>
    <row r="602" spans="1:7" x14ac:dyDescent="0.3">
      <c r="A602" s="4">
        <v>40909</v>
      </c>
      <c r="B602" s="5" t="e">
        <f>Monthly!E602-Monthly!#REF!</f>
        <v>#REF!</v>
      </c>
      <c r="C602" s="7">
        <f>100*(LN(Monthly!H602)-LN(Monthly!H601))</f>
        <v>1.3163199892821886</v>
      </c>
      <c r="D602" s="7">
        <v>4.2660044467807303</v>
      </c>
      <c r="E602" s="7" t="e">
        <f>100*(Monthly!#REF!-Monthly!#REF!)</f>
        <v>#REF!</v>
      </c>
      <c r="F602" s="7" t="e">
        <f>100*(Monthly!#REF!-Monthly!#REF!)</f>
        <v>#REF!</v>
      </c>
      <c r="G602" s="7">
        <v>0</v>
      </c>
    </row>
    <row r="603" spans="1:7" x14ac:dyDescent="0.3">
      <c r="A603" s="4">
        <v>40940</v>
      </c>
      <c r="B603" s="5" t="e">
        <f>Monthly!E603-Monthly!#REF!</f>
        <v>#REF!</v>
      </c>
      <c r="C603" s="7">
        <f>100*(LN(Monthly!H603)-LN(Monthly!H602))</f>
        <v>1.7152877407524691</v>
      </c>
      <c r="D603" s="7">
        <v>3.97873446720445</v>
      </c>
      <c r="E603" s="7" t="e">
        <f>100*(Monthly!#REF!-Monthly!#REF!)</f>
        <v>#REF!</v>
      </c>
      <c r="F603" s="7" t="e">
        <f>100*(Monthly!#REF!-Monthly!#REF!)</f>
        <v>#REF!</v>
      </c>
      <c r="G603" s="7">
        <v>0</v>
      </c>
    </row>
    <row r="604" spans="1:7" x14ac:dyDescent="0.3">
      <c r="A604" s="4">
        <v>40969</v>
      </c>
      <c r="B604" s="5" t="e">
        <f>Monthly!E604-Monthly!#REF!</f>
        <v>#REF!</v>
      </c>
      <c r="C604" s="7">
        <f>100*(LN(Monthly!H604)-LN(Monthly!H603))</f>
        <v>0.46864454831831992</v>
      </c>
      <c r="D604" s="7">
        <v>3.0851475632996102</v>
      </c>
      <c r="E604" s="7" t="e">
        <f>100*(Monthly!#REF!-Monthly!#REF!)</f>
        <v>#REF!</v>
      </c>
      <c r="F604" s="7" t="e">
        <f>100*(Monthly!#REF!-Monthly!#REF!)</f>
        <v>#REF!</v>
      </c>
      <c r="G604" s="7">
        <v>0</v>
      </c>
    </row>
    <row r="605" spans="1:7" x14ac:dyDescent="0.3">
      <c r="A605" s="4">
        <v>41000</v>
      </c>
      <c r="B605" s="5" t="e">
        <f>Monthly!E605-Monthly!#REF!</f>
        <v>#REF!</v>
      </c>
      <c r="C605" s="7">
        <f>100*(LN(Monthly!H605)-LN(Monthly!H604))</f>
        <v>1.331613406585852</v>
      </c>
      <c r="D605" s="7">
        <v>-0.75256995449887598</v>
      </c>
      <c r="E605" s="7" t="e">
        <f>100*(Monthly!#REF!-Monthly!#REF!)</f>
        <v>#REF!</v>
      </c>
      <c r="F605" s="7" t="e">
        <f>100*(Monthly!#REF!-Monthly!#REF!)</f>
        <v>#REF!</v>
      </c>
      <c r="G605" s="7">
        <v>0</v>
      </c>
    </row>
    <row r="606" spans="1:7" x14ac:dyDescent="0.3">
      <c r="A606" s="4">
        <v>41030</v>
      </c>
      <c r="B606" s="5" t="e">
        <f>Monthly!E606-Monthly!#REF!</f>
        <v>#REF!</v>
      </c>
      <c r="C606" s="7">
        <f>100*(LN(Monthly!H606)-LN(Monthly!H605))</f>
        <v>0.76022828073947224</v>
      </c>
      <c r="D606" s="7">
        <v>-6.4699308158624698</v>
      </c>
      <c r="E606" s="7" t="e">
        <f>100*(Monthly!#REF!-Monthly!#REF!)</f>
        <v>#REF!</v>
      </c>
      <c r="F606" s="7" t="e">
        <f>100*(Monthly!#REF!-Monthly!#REF!)</f>
        <v>#REF!</v>
      </c>
      <c r="G606" s="7">
        <v>0</v>
      </c>
    </row>
    <row r="607" spans="1:7" x14ac:dyDescent="0.3">
      <c r="A607" s="4">
        <v>41061</v>
      </c>
      <c r="B607" s="5" t="e">
        <f>Monthly!E607-Monthly!#REF!</f>
        <v>#REF!</v>
      </c>
      <c r="C607" s="7">
        <f>100*(LN(Monthly!H607)-LN(Monthly!H606))</f>
        <v>1.3636014478239922</v>
      </c>
      <c r="D607" s="7">
        <v>3.8792719873699899</v>
      </c>
      <c r="E607" s="7" t="e">
        <f>100*(Monthly!#REF!-Monthly!#REF!)</f>
        <v>#REF!</v>
      </c>
      <c r="F607" s="7" t="e">
        <f>100*(Monthly!#REF!-Monthly!#REF!)</f>
        <v>#REF!</v>
      </c>
      <c r="G607" s="7">
        <v>1</v>
      </c>
    </row>
    <row r="608" spans="1:7" x14ac:dyDescent="0.3">
      <c r="A608" s="4">
        <v>41091</v>
      </c>
      <c r="B608" s="5" t="e">
        <f>Monthly!E608-Monthly!#REF!</f>
        <v>#REF!</v>
      </c>
      <c r="C608" s="7">
        <f>100*(LN(Monthly!H608)-LN(Monthly!H607))</f>
        <v>1.1244344585358945</v>
      </c>
      <c r="D608" s="7">
        <v>1.25188849402827</v>
      </c>
      <c r="E608" s="7" t="e">
        <f>100*(Monthly!#REF!-Monthly!#REF!)</f>
        <v>#REF!</v>
      </c>
      <c r="F608" s="7" t="e">
        <f>100*(Monthly!#REF!-Monthly!#REF!)</f>
        <v>#REF!</v>
      </c>
      <c r="G608" s="7">
        <v>0</v>
      </c>
    </row>
    <row r="609" spans="1:7" x14ac:dyDescent="0.3">
      <c r="A609" s="4">
        <v>41122</v>
      </c>
      <c r="B609" s="5" t="e">
        <f>Monthly!E609-Monthly!#REF!</f>
        <v>#REF!</v>
      </c>
      <c r="C609" s="7">
        <f>100*(LN(Monthly!H609)-LN(Monthly!H608))</f>
        <v>0.83401125520436992</v>
      </c>
      <c r="D609" s="7">
        <v>1.9570609701871</v>
      </c>
      <c r="E609" s="7" t="e">
        <f>100*(Monthly!#REF!-Monthly!#REF!)</f>
        <v>#REF!</v>
      </c>
      <c r="F609" s="7" t="e">
        <f>100*(Monthly!#REF!-Monthly!#REF!)</f>
        <v>#REF!</v>
      </c>
      <c r="G609" s="7">
        <v>0</v>
      </c>
    </row>
    <row r="610" spans="1:7" x14ac:dyDescent="0.3">
      <c r="A610" s="4">
        <v>41153</v>
      </c>
      <c r="B610" s="5" t="e">
        <f>Monthly!E610-Monthly!#REF!</f>
        <v>#REF!</v>
      </c>
      <c r="C610" s="7">
        <f>100*(LN(Monthly!H610)-LN(Monthly!H609))</f>
        <v>0.6090679425077461</v>
      </c>
      <c r="D610" s="7">
        <v>2.3947118796254498</v>
      </c>
      <c r="E610" s="7" t="e">
        <f>100*(Monthly!#REF!-Monthly!#REF!)</f>
        <v>#REF!</v>
      </c>
      <c r="F610" s="7" t="e">
        <f>100*(Monthly!#REF!-Monthly!#REF!)</f>
        <v>#REF!</v>
      </c>
      <c r="G610" s="7">
        <v>0</v>
      </c>
    </row>
    <row r="611" spans="1:7" x14ac:dyDescent="0.3">
      <c r="A611" s="4">
        <v>41183</v>
      </c>
      <c r="B611" s="5" t="e">
        <f>Monthly!E611-Monthly!#REF!</f>
        <v>#REF!</v>
      </c>
      <c r="C611" s="7">
        <f>100*(LN(Monthly!H611)-LN(Monthly!H610))</f>
        <v>1.0577666391120566</v>
      </c>
      <c r="D611" s="7">
        <v>-1.9987842358050201</v>
      </c>
      <c r="E611" s="7" t="e">
        <f>100*(Monthly!#REF!-Monthly!#REF!)</f>
        <v>#REF!</v>
      </c>
      <c r="F611" s="7" t="e">
        <f>100*(Monthly!#REF!-Monthly!#REF!)</f>
        <v>#REF!</v>
      </c>
      <c r="G611" s="7">
        <v>0</v>
      </c>
    </row>
    <row r="612" spans="1:7" x14ac:dyDescent="0.3">
      <c r="A612" s="4">
        <v>41214</v>
      </c>
      <c r="B612" s="5" t="e">
        <f>Monthly!E612-Monthly!#REF!</f>
        <v>#REF!</v>
      </c>
      <c r="C612" s="7">
        <f>100*(LN(Monthly!H612)-LN(Monthly!H611))</f>
        <v>0.54993318366012289</v>
      </c>
      <c r="D612" s="7">
        <v>0.28426724604567299</v>
      </c>
      <c r="E612" s="7" t="e">
        <f>100*(Monthly!#REF!-Monthly!#REF!)</f>
        <v>#REF!</v>
      </c>
      <c r="F612" s="7" t="e">
        <f>100*(Monthly!#REF!-Monthly!#REF!)</f>
        <v>#REF!</v>
      </c>
      <c r="G612" s="7">
        <v>0</v>
      </c>
    </row>
    <row r="613" spans="1:7" x14ac:dyDescent="0.3">
      <c r="A613" s="4">
        <v>41244</v>
      </c>
      <c r="B613" s="5" t="e">
        <f>Monthly!E613-Monthly!#REF!</f>
        <v>#REF!</v>
      </c>
      <c r="C613" s="7">
        <f>100*(LN(Monthly!H613)-LN(Monthly!H612))</f>
        <v>1.160390588378668</v>
      </c>
      <c r="D613" s="7">
        <v>0.70433681007133997</v>
      </c>
      <c r="E613" s="7" t="e">
        <f>100*(Monthly!#REF!-Monthly!#REF!)</f>
        <v>#REF!</v>
      </c>
      <c r="F613" s="7" t="e">
        <f>100*(Monthly!#REF!-Monthly!#REF!)</f>
        <v>#REF!</v>
      </c>
      <c r="G613" s="7">
        <v>0</v>
      </c>
    </row>
    <row r="614" spans="1:7" x14ac:dyDescent="0.3">
      <c r="A614" s="4">
        <v>41275</v>
      </c>
      <c r="B614" s="5" t="e">
        <f>Monthly!E614-Monthly!#REF!</f>
        <v>#REF!</v>
      </c>
      <c r="C614" s="7">
        <f>100*(LN(Monthly!H614)-LN(Monthly!H613))</f>
        <v>0.71036102252604039</v>
      </c>
      <c r="D614" s="7">
        <v>4.9197791998746103</v>
      </c>
      <c r="E614" s="7" t="e">
        <f>100*(Monthly!#REF!-Monthly!#REF!)</f>
        <v>#REF!</v>
      </c>
      <c r="F614" s="7" t="e">
        <f>100*(Monthly!#REF!-Monthly!#REF!)</f>
        <v>#REF!</v>
      </c>
      <c r="G614" s="7">
        <v>0</v>
      </c>
    </row>
    <row r="615" spans="1:7" x14ac:dyDescent="0.3">
      <c r="A615" s="4">
        <v>41306</v>
      </c>
      <c r="B615" s="5" t="e">
        <f>Monthly!E615-Monthly!#REF!</f>
        <v>#REF!</v>
      </c>
      <c r="C615" s="7">
        <f>100*(LN(Monthly!H615)-LN(Monthly!H614))</f>
        <v>0.41432426167862246</v>
      </c>
      <c r="D615" s="7">
        <v>1.0999927126354401</v>
      </c>
      <c r="E615" s="7" t="e">
        <f>100*(Monthly!#REF!-Monthly!#REF!)</f>
        <v>#REF!</v>
      </c>
      <c r="F615" s="7" t="e">
        <f>100*(Monthly!#REF!-Monthly!#REF!)</f>
        <v>#REF!</v>
      </c>
      <c r="G615" s="7">
        <v>0</v>
      </c>
    </row>
    <row r="616" spans="1:7" x14ac:dyDescent="0.3">
      <c r="A616" s="4">
        <v>41334</v>
      </c>
      <c r="B616" s="5" t="e">
        <f>Monthly!E616-Monthly!#REF!</f>
        <v>#REF!</v>
      </c>
      <c r="C616" s="7">
        <f>100*(LN(Monthly!H616)-LN(Monthly!H615))</f>
        <v>0.52959987760852201</v>
      </c>
      <c r="D616" s="7">
        <v>3.5355294329704798</v>
      </c>
      <c r="E616" s="7" t="e">
        <f>100*(Monthly!#REF!-Monthly!#REF!)</f>
        <v>#REF!</v>
      </c>
      <c r="F616" s="7" t="e">
        <f>100*(Monthly!#REF!-Monthly!#REF!)</f>
        <v>#REF!</v>
      </c>
      <c r="G616" s="7">
        <v>0</v>
      </c>
    </row>
    <row r="617" spans="1:7" x14ac:dyDescent="0.3">
      <c r="A617" s="4">
        <v>41365</v>
      </c>
      <c r="B617" s="5" t="e">
        <f>Monthly!E617-Monthly!#REF!</f>
        <v>#REF!</v>
      </c>
      <c r="C617" s="7">
        <f>100*(LN(Monthly!H617)-LN(Monthly!H616))</f>
        <v>0.54978508003449278</v>
      </c>
      <c r="D617" s="7">
        <v>1.7924165836652499</v>
      </c>
      <c r="E617" s="7" t="e">
        <f>100*(Monthly!#REF!-Monthly!#REF!)</f>
        <v>#REF!</v>
      </c>
      <c r="F617" s="7" t="e">
        <f>100*(Monthly!#REF!-Monthly!#REF!)</f>
        <v>#REF!</v>
      </c>
      <c r="G617" s="7">
        <v>0</v>
      </c>
    </row>
    <row r="618" spans="1:7" x14ac:dyDescent="0.3">
      <c r="A618" s="4">
        <v>41395</v>
      </c>
      <c r="B618" s="5" t="e">
        <f>Monthly!E618-Monthly!#REF!</f>
        <v>#REF!</v>
      </c>
      <c r="C618" s="7">
        <f>100*(LN(Monthly!H618)-LN(Monthly!H617))</f>
        <v>0.19687384159832177</v>
      </c>
      <c r="D618" s="7">
        <v>2.0550202383511502</v>
      </c>
      <c r="E618" s="7" t="e">
        <f>100*(Monthly!#REF!-Monthly!#REF!)</f>
        <v>#REF!</v>
      </c>
      <c r="F618" s="7" t="e">
        <f>100*(Monthly!#REF!-Monthly!#REF!)</f>
        <v>#REF!</v>
      </c>
      <c r="G618" s="7">
        <v>0</v>
      </c>
    </row>
    <row r="619" spans="1:7" x14ac:dyDescent="0.3">
      <c r="A619" s="4">
        <v>41426</v>
      </c>
      <c r="B619" s="5" t="e">
        <f>Monthly!E619-Monthly!#REF!</f>
        <v>#REF!</v>
      </c>
      <c r="C619" s="7">
        <f>100*(LN(Monthly!H619)-LN(Monthly!H618))</f>
        <v>0.74731564514269877</v>
      </c>
      <c r="D619" s="7">
        <v>-1.5112928770280001</v>
      </c>
      <c r="E619" s="7" t="e">
        <f>100*(Monthly!#REF!-Monthly!#REF!)</f>
        <v>#REF!</v>
      </c>
      <c r="F619" s="7" t="e">
        <f>100*(Monthly!#REF!-Monthly!#REF!)</f>
        <v>#REF!</v>
      </c>
      <c r="G619" s="7">
        <v>1</v>
      </c>
    </row>
    <row r="620" spans="1:7" x14ac:dyDescent="0.3">
      <c r="A620" s="4">
        <v>41456</v>
      </c>
      <c r="B620" s="5" t="e">
        <f>Monthly!E620-Monthly!#REF!</f>
        <v>#REF!</v>
      </c>
      <c r="C620" s="7">
        <f>100*(LN(Monthly!H620)-LN(Monthly!H619))</f>
        <v>0.66429690690190668</v>
      </c>
      <c r="D620" s="7">
        <v>4.8277728051787996</v>
      </c>
      <c r="E620" s="7" t="e">
        <f>100*(Monthly!#REF!-Monthly!#REF!)</f>
        <v>#REF!</v>
      </c>
      <c r="F620" s="7" t="e">
        <f>100*(Monthly!#REF!-Monthly!#REF!)</f>
        <v>#REF!</v>
      </c>
      <c r="G620" s="7">
        <v>0</v>
      </c>
    </row>
    <row r="621" spans="1:7" x14ac:dyDescent="0.3">
      <c r="A621" s="4">
        <v>41487</v>
      </c>
      <c r="B621" s="5" t="e">
        <f>Monthly!E621-Monthly!#REF!</f>
        <v>#REF!</v>
      </c>
      <c r="C621" s="7">
        <f>100*(LN(Monthly!H621)-LN(Monthly!H620))</f>
        <v>7.8545067824720149E-2</v>
      </c>
      <c r="D621" s="7">
        <v>-3.1798268037945401</v>
      </c>
      <c r="E621" s="7" t="e">
        <f>100*(Monthly!#REF!-Monthly!#REF!)</f>
        <v>#REF!</v>
      </c>
      <c r="F621" s="7" t="e">
        <f>100*(Monthly!#REF!-Monthly!#REF!)</f>
        <v>#REF!</v>
      </c>
      <c r="G621" s="7">
        <v>0</v>
      </c>
    </row>
    <row r="622" spans="1:7" x14ac:dyDescent="0.3">
      <c r="A622" s="4">
        <v>41518</v>
      </c>
      <c r="B622" s="5" t="e">
        <f>Monthly!E622-Monthly!#REF!</f>
        <v>#REF!</v>
      </c>
      <c r="C622" s="7">
        <f>100*(LN(Monthly!H622)-LN(Monthly!H621))</f>
        <v>0.44946191999839513</v>
      </c>
      <c r="D622" s="7">
        <v>2.9315591366424898</v>
      </c>
      <c r="E622" s="7" t="e">
        <f>100*(Monthly!#REF!-Monthly!#REF!)</f>
        <v>#REF!</v>
      </c>
      <c r="F622" s="7" t="e">
        <f>100*(Monthly!#REF!-Monthly!#REF!)</f>
        <v>#REF!</v>
      </c>
      <c r="G622" s="7">
        <v>0</v>
      </c>
    </row>
    <row r="623" spans="1:7" x14ac:dyDescent="0.3">
      <c r="A623" s="4">
        <v>41548</v>
      </c>
      <c r="B623" s="5" t="e">
        <f>Monthly!E623-Monthly!#REF!</f>
        <v>#REF!</v>
      </c>
      <c r="C623" s="7">
        <f>100*(LN(Monthly!H623)-LN(Monthly!H622))</f>
        <v>0.62364701013128965</v>
      </c>
      <c r="D623" s="7">
        <v>4.3629971112833896</v>
      </c>
      <c r="E623" s="7" t="e">
        <f>100*(Monthly!#REF!-Monthly!#REF!)</f>
        <v>#REF!</v>
      </c>
      <c r="F623" s="7" t="e">
        <f>100*(Monthly!#REF!-Monthly!#REF!)</f>
        <v>#REF!</v>
      </c>
      <c r="G623" s="7">
        <v>0</v>
      </c>
    </row>
    <row r="624" spans="1:7" x14ac:dyDescent="0.3">
      <c r="A624" s="4">
        <v>41579</v>
      </c>
      <c r="B624" s="5" t="e">
        <f>Monthly!E624-Monthly!#REF!</f>
        <v>#REF!</v>
      </c>
      <c r="C624" s="7">
        <f>100*(LN(Monthly!H624)-LN(Monthly!H623))</f>
        <v>0.59273984114094347</v>
      </c>
      <c r="D624" s="7">
        <v>2.76632897732354</v>
      </c>
      <c r="E624" s="7" t="e">
        <f>100*(Monthly!#REF!-Monthly!#REF!)</f>
        <v>#REF!</v>
      </c>
      <c r="F624" s="7" t="e">
        <f>100*(Monthly!#REF!-Monthly!#REF!)</f>
        <v>#REF!</v>
      </c>
      <c r="G624" s="7">
        <v>0</v>
      </c>
    </row>
    <row r="625" spans="1:7" x14ac:dyDescent="0.3">
      <c r="A625" s="4">
        <v>41609</v>
      </c>
      <c r="B625" s="5" t="e">
        <f>Monthly!E625-Monthly!#REF!</f>
        <v>#REF!</v>
      </c>
      <c r="C625" s="7">
        <f>100*(LN(Monthly!H625)-LN(Monthly!H624))</f>
        <v>0.98808376729229153</v>
      </c>
      <c r="D625" s="7">
        <v>2.32894744820535</v>
      </c>
      <c r="E625" s="7" t="e">
        <f>100*(Monthly!#REF!-Monthly!#REF!)</f>
        <v>#REF!</v>
      </c>
      <c r="F625" s="7" t="e">
        <f>100*(Monthly!#REF!-Monthly!#REF!)</f>
        <v>#REF!</v>
      </c>
      <c r="G625" s="7">
        <v>0</v>
      </c>
    </row>
    <row r="626" spans="1:7" x14ac:dyDescent="0.3">
      <c r="A626" s="4">
        <v>41640</v>
      </c>
      <c r="B626" s="5" t="e">
        <f>Monthly!E626-Monthly!#REF!</f>
        <v>#REF!</v>
      </c>
      <c r="C626" s="7">
        <f>100*(LN(Monthly!H626)-LN(Monthly!H625))</f>
        <v>0.78867257924777334</v>
      </c>
      <c r="D626" s="7">
        <v>-3.62314077760192</v>
      </c>
      <c r="E626" s="7" t="e">
        <f>100*(Monthly!#REF!-Monthly!#REF!)</f>
        <v>#REF!</v>
      </c>
      <c r="F626" s="7" t="e">
        <f>100*(Monthly!#REF!-Monthly!#REF!)</f>
        <v>#REF!</v>
      </c>
      <c r="G626" s="7">
        <v>0</v>
      </c>
    </row>
    <row r="627" spans="1:7" x14ac:dyDescent="0.3">
      <c r="A627" s="4">
        <v>41671</v>
      </c>
      <c r="B627" s="5" t="e">
        <f>Monthly!E627-Monthly!#REF!</f>
        <v>#REF!</v>
      </c>
      <c r="C627" s="7">
        <f>100*(LN(Monthly!H627)-LN(Monthly!H626))</f>
        <v>2.0530363178393074</v>
      </c>
      <c r="D627" s="7">
        <v>4.2213375072275596</v>
      </c>
      <c r="E627" s="7" t="e">
        <f>100*(Monthly!#REF!-Monthly!#REF!)</f>
        <v>#REF!</v>
      </c>
      <c r="F627" s="7" t="e">
        <f>100*(Monthly!#REF!-Monthly!#REF!)</f>
        <v>#REF!</v>
      </c>
      <c r="G627" s="7">
        <v>0</v>
      </c>
    </row>
    <row r="628" spans="1:7" x14ac:dyDescent="0.3">
      <c r="A628" s="4">
        <v>41699</v>
      </c>
      <c r="B628" s="5" t="e">
        <f>Monthly!E628-Monthly!#REF!</f>
        <v>#REF!</v>
      </c>
      <c r="C628" s="7">
        <f>100*(LN(Monthly!H628)-LN(Monthly!H627))</f>
        <v>0.83664098328437575</v>
      </c>
      <c r="D628" s="7">
        <v>0.69082484269442102</v>
      </c>
      <c r="E628" s="7" t="e">
        <f>100*(Monthly!#REF!-Monthly!#REF!)</f>
        <v>#REF!</v>
      </c>
      <c r="F628" s="7" t="e">
        <f>100*(Monthly!#REF!-Monthly!#REF!)</f>
        <v>#REF!</v>
      </c>
      <c r="G628" s="7">
        <v>0</v>
      </c>
    </row>
    <row r="629" spans="1:7" x14ac:dyDescent="0.3">
      <c r="A629" s="4">
        <v>41730</v>
      </c>
      <c r="B629" s="5" t="e">
        <f>Monthly!E629-Monthly!#REF!</f>
        <v>#REF!</v>
      </c>
      <c r="C629" s="7">
        <f>100*(LN(Monthly!H629)-LN(Monthly!H628))</f>
        <v>1.0883622522184666</v>
      </c>
      <c r="D629" s="7">
        <v>0.61816433655846803</v>
      </c>
      <c r="E629" s="7" t="e">
        <f>100*(Monthly!#REF!-Monthly!#REF!)</f>
        <v>#REF!</v>
      </c>
      <c r="F629" s="7" t="e">
        <f>100*(Monthly!#REF!-Monthly!#REF!)</f>
        <v>#REF!</v>
      </c>
      <c r="G629" s="7">
        <v>0</v>
      </c>
    </row>
    <row r="630" spans="1:7" x14ac:dyDescent="0.3">
      <c r="A630" s="4">
        <v>41760</v>
      </c>
      <c r="B630" s="5" t="e">
        <f>Monthly!E630-Monthly!#REF!</f>
        <v>#REF!</v>
      </c>
      <c r="C630" s="7">
        <f>100*(LN(Monthly!H630)-LN(Monthly!H629))</f>
        <v>0.75426834851750613</v>
      </c>
      <c r="D630" s="7">
        <v>2.0812196013358202</v>
      </c>
      <c r="E630" s="7" t="e">
        <f>100*(Monthly!#REF!-Monthly!#REF!)</f>
        <v>#REF!</v>
      </c>
      <c r="F630" s="7" t="e">
        <f>100*(Monthly!#REF!-Monthly!#REF!)</f>
        <v>#REF!</v>
      </c>
      <c r="G630" s="7">
        <v>0</v>
      </c>
    </row>
    <row r="631" spans="1:7" x14ac:dyDescent="0.3">
      <c r="A631" s="4">
        <v>41791</v>
      </c>
      <c r="B631" s="5" t="e">
        <f>Monthly!E631-Monthly!#REF!</f>
        <v>#REF!</v>
      </c>
      <c r="C631" s="7">
        <f>100*(LN(Monthly!H631)-LN(Monthly!H630))</f>
        <v>0.78501897933191955</v>
      </c>
      <c r="D631" s="7">
        <v>1.8878996713560501</v>
      </c>
      <c r="E631" s="7" t="e">
        <f>100*(Monthly!#REF!-Monthly!#REF!)</f>
        <v>#REF!</v>
      </c>
      <c r="F631" s="7" t="e">
        <f>100*(Monthly!#REF!-Monthly!#REF!)</f>
        <v>#REF!</v>
      </c>
      <c r="G631" s="7">
        <v>0</v>
      </c>
    </row>
    <row r="632" spans="1:7" x14ac:dyDescent="0.3">
      <c r="A632" s="4">
        <v>41821</v>
      </c>
      <c r="B632" s="5" t="e">
        <f>Monthly!E632-Monthly!#REF!</f>
        <v>#REF!</v>
      </c>
      <c r="C632" s="7">
        <f>100*(LN(Monthly!H632)-LN(Monthly!H631))</f>
        <v>1.0742635532623446</v>
      </c>
      <c r="D632" s="7">
        <v>-1.51946876379915</v>
      </c>
      <c r="E632" s="7" t="e">
        <f>100*(Monthly!#REF!-Monthly!#REF!)</f>
        <v>#REF!</v>
      </c>
      <c r="F632" s="7" t="e">
        <f>100*(Monthly!#REF!-Monthly!#REF!)</f>
        <v>#REF!</v>
      </c>
      <c r="G632" s="7">
        <v>0</v>
      </c>
    </row>
    <row r="633" spans="1:7" x14ac:dyDescent="0.3">
      <c r="A633" s="4">
        <v>41852</v>
      </c>
      <c r="B633" s="5" t="e">
        <f>Monthly!E633-Monthly!#REF!</f>
        <v>#REF!</v>
      </c>
      <c r="C633" s="7">
        <f>100*(LN(Monthly!H633)-LN(Monthly!H632))</f>
        <v>0.98873875348655105</v>
      </c>
      <c r="D633" s="7">
        <v>3.69636444079892</v>
      </c>
      <c r="E633" s="7" t="e">
        <f>100*(Monthly!#REF!-Monthly!#REF!)</f>
        <v>#REF!</v>
      </c>
      <c r="F633" s="7" t="e">
        <f>100*(Monthly!#REF!-Monthly!#REF!)</f>
        <v>#REF!</v>
      </c>
      <c r="G633" s="7">
        <v>0</v>
      </c>
    </row>
    <row r="634" spans="1:7" x14ac:dyDescent="0.3">
      <c r="A634" s="4">
        <v>41883</v>
      </c>
      <c r="B634" s="5" t="e">
        <f>Monthly!E634-Monthly!#REF!</f>
        <v>#REF!</v>
      </c>
      <c r="C634" s="7">
        <f>100*(LN(Monthly!H634)-LN(Monthly!H633))</f>
        <v>0.81333020197140726</v>
      </c>
      <c r="D634" s="7">
        <v>-1.5635436105289799</v>
      </c>
      <c r="E634" s="7" t="e">
        <f>100*(Monthly!#REF!-Monthly!#REF!)</f>
        <v>#REF!</v>
      </c>
      <c r="F634" s="7" t="e">
        <f>100*(Monthly!#REF!-Monthly!#REF!)</f>
        <v>#REF!</v>
      </c>
      <c r="G634" s="7">
        <v>0</v>
      </c>
    </row>
    <row r="635" spans="1:7" x14ac:dyDescent="0.3">
      <c r="A635" s="4">
        <v>41913</v>
      </c>
      <c r="B635" s="5" t="e">
        <f>Monthly!E635-Monthly!#REF!</f>
        <v>#REF!</v>
      </c>
      <c r="C635" s="7">
        <f>100*(LN(Monthly!H635)-LN(Monthly!H634))</f>
        <v>0.29361712843734011</v>
      </c>
      <c r="D635" s="7">
        <v>2.29363988295643</v>
      </c>
      <c r="E635" s="7" t="e">
        <f>100*(Monthly!#REF!-Monthly!#REF!)</f>
        <v>#REF!</v>
      </c>
      <c r="F635" s="7" t="e">
        <f>100*(Monthly!#REF!-Monthly!#REF!)</f>
        <v>#REF!</v>
      </c>
      <c r="G635" s="7">
        <v>1</v>
      </c>
    </row>
    <row r="636" spans="1:7" x14ac:dyDescent="0.3">
      <c r="A636" s="4">
        <v>41944</v>
      </c>
      <c r="B636" s="5" t="e">
        <f>Monthly!E636-Monthly!#REF!</f>
        <v>#REF!</v>
      </c>
      <c r="C636" s="7">
        <f>100*(LN(Monthly!H636)-LN(Monthly!H635))</f>
        <v>1.1977830795485644</v>
      </c>
      <c r="D636" s="7">
        <v>2.42374735633067</v>
      </c>
      <c r="E636" s="7" t="e">
        <f>100*(Monthly!#REF!-Monthly!#REF!)</f>
        <v>#REF!</v>
      </c>
      <c r="F636" s="7" t="e">
        <f>100*(Monthly!#REF!-Monthly!#REF!)</f>
        <v>#REF!</v>
      </c>
      <c r="G636" s="7">
        <v>0</v>
      </c>
    </row>
    <row r="637" spans="1:7" x14ac:dyDescent="0.3">
      <c r="A637" s="4">
        <v>41974</v>
      </c>
      <c r="B637" s="5" t="e">
        <f>Monthly!E637-Monthly!#REF!</f>
        <v>#REF!</v>
      </c>
      <c r="C637" s="7">
        <f>100*(LN(Monthly!H637)-LN(Monthly!H636))</f>
        <v>1.2206310147147015</v>
      </c>
      <c r="D637" s="7">
        <v>-0.41973842211259998</v>
      </c>
      <c r="E637" s="7" t="e">
        <f>100*(Monthly!#REF!-Monthly!#REF!)</f>
        <v>#REF!</v>
      </c>
      <c r="F637" s="7" t="e">
        <f>100*(Monthly!#REF!-Monthly!#REF!)</f>
        <v>#REF!</v>
      </c>
      <c r="G637" s="7">
        <v>0</v>
      </c>
    </row>
    <row r="638" spans="1:7" x14ac:dyDescent="0.3">
      <c r="A638" s="4">
        <v>42005</v>
      </c>
      <c r="B638" s="5" t="e">
        <f>Monthly!E638-Monthly!#REF!</f>
        <v>#REF!</v>
      </c>
      <c r="C638" s="7">
        <f>100*(LN(Monthly!H638)-LN(Monthly!H637))</f>
        <v>1.0322988167943414</v>
      </c>
      <c r="D638" s="7">
        <v>-3.1532779266425401</v>
      </c>
      <c r="E638" s="7" t="e">
        <f>100*(Monthly!#REF!-Monthly!#REF!)</f>
        <v>#REF!</v>
      </c>
      <c r="F638" s="7" t="e">
        <f>100*(Monthly!#REF!-Monthly!#REF!)</f>
        <v>#REF!</v>
      </c>
      <c r="G638" s="7">
        <v>1</v>
      </c>
    </row>
    <row r="639" spans="1:7" x14ac:dyDescent="0.3">
      <c r="A639" s="4">
        <v>42036</v>
      </c>
      <c r="B639" s="5" t="e">
        <f>Monthly!E639-Monthly!#REF!</f>
        <v>#REF!</v>
      </c>
      <c r="C639" s="7">
        <f>100*(LN(Monthly!H639)-LN(Monthly!H638))</f>
        <v>0.90863606219429016</v>
      </c>
      <c r="D639" s="7">
        <v>5.34388763256272</v>
      </c>
      <c r="E639" s="7" t="e">
        <f>100*(Monthly!#REF!-Monthly!#REF!)</f>
        <v>#REF!</v>
      </c>
      <c r="F639" s="7" t="e">
        <f>100*(Monthly!#REF!-Monthly!#REF!)</f>
        <v>#REF!</v>
      </c>
      <c r="G639" s="7">
        <v>0</v>
      </c>
    </row>
    <row r="640" spans="1:7" x14ac:dyDescent="0.3">
      <c r="A640" s="4">
        <v>42064</v>
      </c>
      <c r="B640" s="5" t="e">
        <f>Monthly!E640-Monthly!#REF!</f>
        <v>#REF!</v>
      </c>
      <c r="C640" s="7">
        <f>100*(LN(Monthly!H640)-LN(Monthly!H639))</f>
        <v>1.4016781339416085</v>
      </c>
      <c r="D640" s="7">
        <v>-1.75491974339631</v>
      </c>
      <c r="E640" s="7" t="e">
        <f>100*(Monthly!#REF!-Monthly!#REF!)</f>
        <v>#REF!</v>
      </c>
      <c r="F640" s="7" t="e">
        <f>100*(Monthly!#REF!-Monthly!#REF!)</f>
        <v>#REF!</v>
      </c>
      <c r="G640" s="7">
        <v>0</v>
      </c>
    </row>
    <row r="641" spans="1:7" x14ac:dyDescent="0.3">
      <c r="A641" s="4">
        <v>42095</v>
      </c>
      <c r="B641" s="5" t="e">
        <f>Monthly!E641-Monthly!#REF!</f>
        <v>#REF!</v>
      </c>
      <c r="C641" s="7">
        <f>100*(LN(Monthly!H641)-LN(Monthly!H640))</f>
        <v>0.78702265072836397</v>
      </c>
      <c r="D641" s="7">
        <v>0.84847225446355301</v>
      </c>
      <c r="E641" s="7" t="e">
        <f>100*(Monthly!#REF!-Monthly!#REF!)</f>
        <v>#REF!</v>
      </c>
      <c r="F641" s="7" t="e">
        <f>100*(Monthly!#REF!-Monthly!#REF!)</f>
        <v>#REF!</v>
      </c>
      <c r="G641" s="7">
        <v>0</v>
      </c>
    </row>
    <row r="642" spans="1:7" x14ac:dyDescent="0.3">
      <c r="A642" s="4">
        <v>42125</v>
      </c>
      <c r="B642" s="5" t="e">
        <f>Monthly!E642-Monthly!#REF!</f>
        <v>#REF!</v>
      </c>
      <c r="C642" s="7">
        <f>100*(LN(Monthly!H642)-LN(Monthly!H641))</f>
        <v>0.84023894147700062</v>
      </c>
      <c r="D642" s="7">
        <v>1.04367296753368</v>
      </c>
      <c r="E642" s="7" t="e">
        <f>100*(Monthly!#REF!-Monthly!#REF!)</f>
        <v>#REF!</v>
      </c>
      <c r="F642" s="7" t="e">
        <f>100*(Monthly!#REF!-Monthly!#REF!)</f>
        <v>#REF!</v>
      </c>
      <c r="G642" s="7">
        <v>0</v>
      </c>
    </row>
    <row r="643" spans="1:7" x14ac:dyDescent="0.3">
      <c r="A643" s="4">
        <v>42156</v>
      </c>
      <c r="B643" s="5" t="e">
        <f>Monthly!E643-Monthly!#REF!</f>
        <v>#REF!</v>
      </c>
      <c r="C643" s="7">
        <f>100*(LN(Monthly!H643)-LN(Monthly!H642))</f>
        <v>0.88823232720436351</v>
      </c>
      <c r="D643" s="7">
        <v>-2.12355588717586</v>
      </c>
      <c r="E643" s="7" t="e">
        <f>100*(Monthly!#REF!-Monthly!#REF!)</f>
        <v>#REF!</v>
      </c>
      <c r="F643" s="7" t="e">
        <f>100*(Monthly!#REF!-Monthly!#REF!)</f>
        <v>#REF!</v>
      </c>
      <c r="G643" s="7">
        <v>0</v>
      </c>
    </row>
    <row r="644" spans="1:7" x14ac:dyDescent="0.3">
      <c r="A644" s="4">
        <v>42186</v>
      </c>
      <c r="B644" s="5" t="e">
        <f>Monthly!E644-Monthly!#REF!</f>
        <v>#REF!</v>
      </c>
      <c r="C644" s="7">
        <f>100*(LN(Monthly!H644)-LN(Monthly!H643))</f>
        <v>0.49599804279001347</v>
      </c>
      <c r="D644" s="7">
        <v>1.9549682990019599</v>
      </c>
      <c r="E644" s="7" t="e">
        <f>100*(Monthly!#REF!-Monthly!#REF!)</f>
        <v>#REF!</v>
      </c>
      <c r="F644" s="7" t="e">
        <f>100*(Monthly!#REF!-Monthly!#REF!)</f>
        <v>#REF!</v>
      </c>
      <c r="G644" s="7">
        <v>0</v>
      </c>
    </row>
    <row r="645" spans="1:7" x14ac:dyDescent="0.3">
      <c r="A645" s="4">
        <v>42217</v>
      </c>
      <c r="B645" s="5" t="e">
        <f>Monthly!E645-Monthly!#REF!</f>
        <v>#REF!</v>
      </c>
      <c r="C645" s="7">
        <f>100*(LN(Monthly!H645)-LN(Monthly!H644))</f>
        <v>0.73327053953899934</v>
      </c>
      <c r="D645" s="7">
        <v>-6.4624730993123896</v>
      </c>
      <c r="E645" s="7" t="e">
        <f>100*(Monthly!#REF!-Monthly!#REF!)</f>
        <v>#REF!</v>
      </c>
      <c r="F645" s="7" t="e">
        <f>100*(Monthly!#REF!-Monthly!#REF!)</f>
        <v>#REF!</v>
      </c>
      <c r="G645" s="7">
        <v>1</v>
      </c>
    </row>
    <row r="646" spans="1:7" x14ac:dyDescent="0.3">
      <c r="A646" s="4">
        <v>42248</v>
      </c>
      <c r="B646" s="5" t="e">
        <f>Monthly!E646-Monthly!#REF!</f>
        <v>#REF!</v>
      </c>
      <c r="C646" s="7">
        <f>100*(LN(Monthly!H646)-LN(Monthly!H645))</f>
        <v>0.62521573499463301</v>
      </c>
      <c r="D646" s="7">
        <v>-2.67987309634628</v>
      </c>
      <c r="E646" s="7" t="e">
        <f>100*(Monthly!#REF!-Monthly!#REF!)</f>
        <v>#REF!</v>
      </c>
      <c r="F646" s="7" t="e">
        <f>100*(Monthly!#REF!-Monthly!#REF!)</f>
        <v>#REF!</v>
      </c>
      <c r="G646" s="7">
        <v>1</v>
      </c>
    </row>
    <row r="647" spans="1:7" x14ac:dyDescent="0.3">
      <c r="A647" s="4">
        <v>42278</v>
      </c>
      <c r="B647" s="5" t="e">
        <f>Monthly!E647-Monthly!#REF!</f>
        <v>#REF!</v>
      </c>
      <c r="C647" s="7">
        <f>100*(LN(Monthly!H647)-LN(Monthly!H646))</f>
        <v>0.77075609731434014</v>
      </c>
      <c r="D647" s="7">
        <v>7.9719379543398698</v>
      </c>
      <c r="E647" s="7" t="e">
        <f>100*(Monthly!#REF!-Monthly!#REF!)</f>
        <v>#REF!</v>
      </c>
      <c r="F647" s="7" t="e">
        <f>100*(Monthly!#REF!-Monthly!#REF!)</f>
        <v>#REF!</v>
      </c>
      <c r="G647" s="7">
        <v>0</v>
      </c>
    </row>
    <row r="648" spans="1:7" x14ac:dyDescent="0.3">
      <c r="A648" s="4">
        <v>42309</v>
      </c>
      <c r="B648" s="5" t="e">
        <f>Monthly!E648-Monthly!#REF!</f>
        <v>#REF!</v>
      </c>
      <c r="C648" s="7">
        <f>100*(LN(Monthly!H648)-LN(Monthly!H647))</f>
        <v>0.83574621213440281</v>
      </c>
      <c r="D648" s="7">
        <v>5.0474170680518599E-2</v>
      </c>
      <c r="E648" s="7" t="e">
        <f>100*(Monthly!#REF!-Monthly!#REF!)</f>
        <v>#REF!</v>
      </c>
      <c r="F648" s="7" t="e">
        <f>100*(Monthly!#REF!-Monthly!#REF!)</f>
        <v>#REF!</v>
      </c>
      <c r="G648" s="7">
        <v>0</v>
      </c>
    </row>
    <row r="649" spans="1:7" x14ac:dyDescent="0.3">
      <c r="A649" s="4">
        <v>42339</v>
      </c>
      <c r="B649" s="5" t="e">
        <f>Monthly!E649-Monthly!#REF!</f>
        <v>#REF!</v>
      </c>
      <c r="C649" s="7">
        <f>100*(LN(Monthly!H649)-LN(Monthly!H648))</f>
        <v>0.3326566925182739</v>
      </c>
      <c r="D649" s="7">
        <v>-1.76856583902572</v>
      </c>
      <c r="E649" s="7" t="e">
        <f>100*(Monthly!#REF!-Monthly!#REF!)</f>
        <v>#REF!</v>
      </c>
      <c r="F649" s="7" t="e">
        <f>100*(Monthly!#REF!-Monthly!#REF!)</f>
        <v>#REF!</v>
      </c>
      <c r="G649" s="7">
        <v>1</v>
      </c>
    </row>
    <row r="650" spans="1:7" x14ac:dyDescent="0.3">
      <c r="A650" s="4">
        <v>42370</v>
      </c>
      <c r="B650" s="5" t="e">
        <f>Monthly!E650-Monthly!#REF!</f>
        <v>#REF!</v>
      </c>
      <c r="C650" s="7">
        <f>100*(LN(Monthly!H650)-LN(Monthly!H649))</f>
        <v>0.56147926408280924</v>
      </c>
      <c r="D650" s="7">
        <v>-5.2067617305496698</v>
      </c>
      <c r="E650" s="7" t="e">
        <f>100*(Monthly!#REF!-Monthly!#REF!)</f>
        <v>#REF!</v>
      </c>
      <c r="F650" s="7" t="e">
        <f>100*(Monthly!#REF!-Monthly!#REF!)</f>
        <v>#REF!</v>
      </c>
      <c r="G650" s="7">
        <v>1</v>
      </c>
    </row>
    <row r="651" spans="1:7" x14ac:dyDescent="0.3">
      <c r="A651" s="4">
        <v>42401</v>
      </c>
      <c r="B651" s="5" t="e">
        <f>Monthly!E651-Monthly!#REF!</f>
        <v>#REF!</v>
      </c>
      <c r="C651" s="7">
        <f>100*(LN(Monthly!H651)-LN(Monthly!H650))</f>
        <v>1.1794632275029748</v>
      </c>
      <c r="D651" s="7">
        <v>-0.413690551499243</v>
      </c>
      <c r="E651" s="7" t="e">
        <f>100*(Monthly!#REF!-Monthly!#REF!)</f>
        <v>#REF!</v>
      </c>
      <c r="F651" s="7" t="e">
        <f>100*(Monthly!#REF!-Monthly!#REF!)</f>
        <v>#REF!</v>
      </c>
      <c r="G651" s="7">
        <v>1</v>
      </c>
    </row>
    <row r="652" spans="1:7" x14ac:dyDescent="0.3">
      <c r="A652" s="4">
        <v>42430</v>
      </c>
      <c r="B652" s="5" t="e">
        <f>Monthly!E652-Monthly!#REF!</f>
        <v>#REF!</v>
      </c>
      <c r="C652" s="7">
        <f>100*(LN(Monthly!H652)-LN(Monthly!H651))</f>
        <v>1.5219989366601183</v>
      </c>
      <c r="D652" s="7">
        <v>6.39049902868289</v>
      </c>
      <c r="E652" s="7" t="e">
        <f>100*(Monthly!#REF!-Monthly!#REF!)</f>
        <v>#REF!</v>
      </c>
      <c r="F652" s="7" t="e">
        <f>100*(Monthly!#REF!-Monthly!#REF!)</f>
        <v>#REF!</v>
      </c>
      <c r="G652" s="7">
        <v>0</v>
      </c>
    </row>
    <row r="653" spans="1:7" x14ac:dyDescent="0.3">
      <c r="A653" s="4">
        <v>42461</v>
      </c>
      <c r="B653" s="5" t="e">
        <f>Monthly!E653-Monthly!#REF!</f>
        <v>#REF!</v>
      </c>
      <c r="C653" s="7">
        <f>100*(LN(Monthly!H653)-LN(Monthly!H652))</f>
        <v>0.78115571494841163</v>
      </c>
      <c r="D653" s="7">
        <v>0.26957614511553901</v>
      </c>
      <c r="E653" s="7" t="e">
        <f>100*(Monthly!#REF!-Monthly!#REF!)</f>
        <v>#REF!</v>
      </c>
      <c r="F653" s="7" t="e">
        <f>100*(Monthly!#REF!-Monthly!#REF!)</f>
        <v>#REF!</v>
      </c>
      <c r="G653" s="7">
        <v>0</v>
      </c>
    </row>
    <row r="654" spans="1:7" x14ac:dyDescent="0.3">
      <c r="A654" s="4">
        <v>42491</v>
      </c>
      <c r="B654" s="5" t="e">
        <f>Monthly!E654-Monthly!#REF!</f>
        <v>#REF!</v>
      </c>
      <c r="C654" s="7">
        <f>100*(LN(Monthly!H654)-LN(Monthly!H653))</f>
        <v>0.71909943015597833</v>
      </c>
      <c r="D654" s="7">
        <v>1.5208366810523799</v>
      </c>
      <c r="E654" s="7" t="e">
        <f>100*(Monthly!#REF!-Monthly!#REF!)</f>
        <v>#REF!</v>
      </c>
      <c r="F654" s="7" t="e">
        <f>100*(Monthly!#REF!-Monthly!#REF!)</f>
        <v>#REF!</v>
      </c>
      <c r="G654" s="7">
        <v>0</v>
      </c>
    </row>
    <row r="655" spans="1:7" x14ac:dyDescent="0.3">
      <c r="A655" s="4">
        <v>42522</v>
      </c>
      <c r="B655" s="5" t="e">
        <f>Monthly!E655-Monthly!#REF!</f>
        <v>#REF!</v>
      </c>
      <c r="C655" s="7">
        <f>100*(LN(Monthly!H655)-LN(Monthly!H654))</f>
        <v>0.12984937600961644</v>
      </c>
      <c r="D655" s="7">
        <v>9.1050660315349599E-2</v>
      </c>
      <c r="E655" s="7" t="e">
        <f>100*(Monthly!#REF!-Monthly!#REF!)</f>
        <v>#REF!</v>
      </c>
      <c r="F655" s="7" t="e">
        <f>100*(Monthly!#REF!-Monthly!#REF!)</f>
        <v>#REF!</v>
      </c>
      <c r="G655" s="7">
        <v>1</v>
      </c>
    </row>
    <row r="656" spans="1:7" x14ac:dyDescent="0.3">
      <c r="A656" s="4">
        <v>42552</v>
      </c>
      <c r="B656" s="5" t="e">
        <f>Monthly!E656-Monthly!#REF!</f>
        <v>#REF!</v>
      </c>
      <c r="C656" s="7">
        <f>100*(LN(Monthly!H656)-LN(Monthly!H655))</f>
        <v>0.3401590495824891</v>
      </c>
      <c r="D656" s="7">
        <v>3.4990432691054001</v>
      </c>
      <c r="E656" s="7" t="e">
        <f>100*(Monthly!#REF!-Monthly!#REF!)</f>
        <v>#REF!</v>
      </c>
      <c r="F656" s="7" t="e">
        <f>100*(Monthly!#REF!-Monthly!#REF!)</f>
        <v>#REF!</v>
      </c>
      <c r="G656" s="7">
        <v>0</v>
      </c>
    </row>
    <row r="657" spans="1:7" x14ac:dyDescent="0.3">
      <c r="A657" s="4">
        <v>42583</v>
      </c>
      <c r="B657" s="5" t="e">
        <f>Monthly!E657-Monthly!#REF!</f>
        <v>#REF!</v>
      </c>
      <c r="C657" s="7">
        <f>100*(LN(Monthly!H657)-LN(Monthly!H656))</f>
        <v>-0.31201277918340153</v>
      </c>
      <c r="D657" s="7">
        <v>-0.12199867803522101</v>
      </c>
      <c r="E657" s="7" t="e">
        <f>100*(Monthly!#REF!-Monthly!#REF!)</f>
        <v>#REF!</v>
      </c>
      <c r="F657" s="7" t="e">
        <f>100*(Monthly!#REF!-Monthly!#REF!)</f>
        <v>#REF!</v>
      </c>
      <c r="G657" s="7">
        <v>0</v>
      </c>
    </row>
    <row r="658" spans="1:7" x14ac:dyDescent="0.3">
      <c r="A658" s="4">
        <v>42614</v>
      </c>
      <c r="B658" s="5" t="e">
        <f>Monthly!E658-Monthly!#REF!</f>
        <v>#REF!</v>
      </c>
      <c r="C658" s="7">
        <f>100*(LN(Monthly!H658)-LN(Monthly!H657))</f>
        <v>0.91987008642027135</v>
      </c>
      <c r="D658" s="7">
        <v>-0.12352137017536299</v>
      </c>
      <c r="E658" s="7" t="e">
        <f>100*(Monthly!#REF!-Monthly!#REF!)</f>
        <v>#REF!</v>
      </c>
      <c r="F658" s="7" t="e">
        <f>100*(Monthly!#REF!-Monthly!#REF!)</f>
        <v>#REF!</v>
      </c>
      <c r="G658" s="7">
        <v>0</v>
      </c>
    </row>
    <row r="659" spans="1:7" x14ac:dyDescent="0.3">
      <c r="A659" s="4">
        <v>42644</v>
      </c>
      <c r="B659" s="5" t="e">
        <f>Monthly!E659-Monthly!#REF!</f>
        <v>#REF!</v>
      </c>
      <c r="C659" s="7">
        <f>100*(LN(Monthly!H659)-LN(Monthly!H658))</f>
        <v>0.76719261563393815</v>
      </c>
      <c r="D659" s="7">
        <v>-1.9616837043472699</v>
      </c>
      <c r="E659" s="7" t="e">
        <f>100*(Monthly!#REF!-Monthly!#REF!)</f>
        <v>#REF!</v>
      </c>
      <c r="F659" s="7" t="e">
        <f>100*(Monthly!#REF!-Monthly!#REF!)</f>
        <v>#REF!</v>
      </c>
      <c r="G659" s="7">
        <v>0</v>
      </c>
    </row>
    <row r="660" spans="1:7" x14ac:dyDescent="0.3">
      <c r="A660" s="4">
        <v>42675</v>
      </c>
      <c r="B660" s="5" t="e">
        <f>Monthly!E660-Monthly!#REF!</f>
        <v>#REF!</v>
      </c>
      <c r="C660" s="7">
        <f>100*(LN(Monthly!H660)-LN(Monthly!H659))</f>
        <v>0.15226667513301706</v>
      </c>
      <c r="D660" s="7">
        <v>3.3603545044434302</v>
      </c>
      <c r="E660" s="7" t="e">
        <f>100*(Monthly!#REF!-Monthly!#REF!)</f>
        <v>#REF!</v>
      </c>
      <c r="F660" s="7" t="e">
        <f>100*(Monthly!#REF!-Monthly!#REF!)</f>
        <v>#REF!</v>
      </c>
      <c r="G660" s="7">
        <v>0</v>
      </c>
    </row>
    <row r="661" spans="1:7" x14ac:dyDescent="0.3">
      <c r="A661" s="4">
        <v>42705</v>
      </c>
      <c r="B661" s="5" t="e">
        <f>Monthly!E661-Monthly!#REF!</f>
        <v>#REF!</v>
      </c>
      <c r="C661" s="7">
        <f>100*(LN(Monthly!H661)-LN(Monthly!H660))</f>
        <v>-0.27787152583069741</v>
      </c>
      <c r="D661" s="7">
        <v>1.8037111299279001</v>
      </c>
      <c r="E661" s="7" t="e">
        <f>100*(Monthly!#REF!-Monthly!#REF!)</f>
        <v>#REF!</v>
      </c>
      <c r="F661" s="7" t="e">
        <f>100*(Monthly!#REF!-Monthly!#REF!)</f>
        <v>#REF!</v>
      </c>
      <c r="G661" s="7">
        <v>0</v>
      </c>
    </row>
    <row r="662" spans="1:7" x14ac:dyDescent="0.3">
      <c r="A662" s="4">
        <v>42736</v>
      </c>
      <c r="B662" s="5" t="e">
        <f>Monthly!E662-Monthly!#REF!</f>
        <v>#REF!</v>
      </c>
      <c r="C662" s="7">
        <f>100*(LN(Monthly!H662)-LN(Monthly!H661))</f>
        <v>-6.9858842232228824E-2</v>
      </c>
      <c r="D662" s="7">
        <v>1.77263146210628</v>
      </c>
      <c r="E662" s="7" t="e">
        <f>100*(Monthly!#REF!-Monthly!#REF!)</f>
        <v>#REF!</v>
      </c>
      <c r="F662" s="7" t="e">
        <f>100*(Monthly!#REF!-Monthly!#REF!)</f>
        <v>#REF!</v>
      </c>
      <c r="G662" s="7">
        <v>0</v>
      </c>
    </row>
    <row r="663" spans="1:7" x14ac:dyDescent="0.3">
      <c r="A663" s="4">
        <v>42767</v>
      </c>
      <c r="B663" s="5" t="e">
        <f>Monthly!E663-Monthly!#REF!</f>
        <v>#REF!</v>
      </c>
      <c r="C663" s="7">
        <f>100*(LN(Monthly!H663)-LN(Monthly!H662))</f>
        <v>1.8507670939715837E-2</v>
      </c>
      <c r="D663" s="7">
        <v>3.6523000738276901</v>
      </c>
      <c r="E663" s="7" t="e">
        <f>100*(Monthly!#REF!-Monthly!#REF!)</f>
        <v>#REF!</v>
      </c>
      <c r="F663" s="7" t="e">
        <f>100*(Monthly!#REF!-Monthly!#REF!)</f>
        <v>#REF!</v>
      </c>
      <c r="G663" s="7">
        <v>0</v>
      </c>
    </row>
    <row r="664" spans="1:7" x14ac:dyDescent="0.3">
      <c r="A664" s="4">
        <v>42795</v>
      </c>
      <c r="B664" s="5" t="e">
        <f>Monthly!E664-Monthly!#REF!</f>
        <v>#REF!</v>
      </c>
      <c r="C664" s="7">
        <f>100*(LN(Monthly!H664)-LN(Monthly!H663))</f>
        <v>-0.85515058168859071</v>
      </c>
      <c r="D664" s="7">
        <v>-3.8927289213133799E-2</v>
      </c>
      <c r="E664" s="7" t="e">
        <f>100*(Monthly!#REF!-Monthly!#REF!)</f>
        <v>#REF!</v>
      </c>
      <c r="F664" s="7" t="e">
        <f>100*(Monthly!#REF!-Monthly!#REF!)</f>
        <v>#REF!</v>
      </c>
      <c r="G664" s="7">
        <v>0</v>
      </c>
    </row>
    <row r="665" spans="1:7" x14ac:dyDescent="0.3">
      <c r="A665" s="4">
        <v>42826</v>
      </c>
      <c r="B665" s="5" t="e">
        <f>Monthly!E665-Monthly!#REF!</f>
        <v>#REF!</v>
      </c>
      <c r="C665" s="7">
        <f>100*(LN(Monthly!H665)-LN(Monthly!H664))</f>
        <v>0.12953874047614278</v>
      </c>
      <c r="D665" s="7">
        <v>0.90501324781981995</v>
      </c>
      <c r="E665" s="7" t="e">
        <f>100*(Monthly!#REF!-Monthly!#REF!)</f>
        <v>#REF!</v>
      </c>
      <c r="F665" s="7" t="e">
        <f>100*(Monthly!#REF!-Monthly!#REF!)</f>
        <v>#REF!</v>
      </c>
      <c r="G665" s="7">
        <v>0</v>
      </c>
    </row>
    <row r="666" spans="1:7" x14ac:dyDescent="0.3">
      <c r="A666" s="4">
        <v>42856</v>
      </c>
      <c r="B666" s="5" t="e">
        <f>Monthly!E666-Monthly!#REF!</f>
        <v>#REF!</v>
      </c>
      <c r="C666" s="7">
        <f>100*(LN(Monthly!H666)-LN(Monthly!H665))</f>
        <v>0.20403199024956464</v>
      </c>
      <c r="D666" s="7">
        <v>1.15097591109806</v>
      </c>
      <c r="E666" s="7" t="e">
        <f>100*(Monthly!#REF!-Monthly!#REF!)</f>
        <v>#REF!</v>
      </c>
      <c r="F666" s="7" t="e">
        <f>100*(Monthly!#REF!-Monthly!#REF!)</f>
        <v>#REF!</v>
      </c>
      <c r="G666" s="7">
        <v>0</v>
      </c>
    </row>
    <row r="667" spans="1:7" x14ac:dyDescent="0.3">
      <c r="A667" s="4">
        <v>42887</v>
      </c>
      <c r="B667" s="5" t="e">
        <f>Monthly!E667-Monthly!#REF!</f>
        <v>#REF!</v>
      </c>
      <c r="C667" s="7">
        <f>100*(LN(Monthly!H667)-LN(Monthly!H666))</f>
        <v>5.6829826219129131E-2</v>
      </c>
      <c r="D667" s="7">
        <v>0.48022260405038703</v>
      </c>
      <c r="E667" s="7" t="e">
        <f>100*(Monthly!#REF!-Monthly!#REF!)</f>
        <v>#REF!</v>
      </c>
      <c r="F667" s="7" t="e">
        <f>100*(Monthly!#REF!-Monthly!#REF!)</f>
        <v>#REF!</v>
      </c>
      <c r="G667" s="7">
        <v>0</v>
      </c>
    </row>
    <row r="668" spans="1:7" x14ac:dyDescent="0.3">
      <c r="A668" s="4">
        <v>42917</v>
      </c>
      <c r="B668" s="5" t="e">
        <f>Monthly!E668-Monthly!#REF!</f>
        <v>#REF!</v>
      </c>
      <c r="C668" s="7">
        <f>100*(LN(Monthly!H668)-LN(Monthly!H667))</f>
        <v>0.15255737525237123</v>
      </c>
      <c r="D668" s="7">
        <v>1.91640175471008</v>
      </c>
      <c r="E668" s="7" t="e">
        <f>100*(Monthly!#REF!-Monthly!#REF!)</f>
        <v>#REF!</v>
      </c>
      <c r="F668" s="7" t="e">
        <f>100*(Monthly!#REF!-Monthly!#REF!)</f>
        <v>#REF!</v>
      </c>
      <c r="G668" s="7">
        <v>0</v>
      </c>
    </row>
    <row r="669" spans="1:7" x14ac:dyDescent="0.3">
      <c r="A669" s="4">
        <v>42948</v>
      </c>
      <c r="B669" s="5" t="e">
        <f>Monthly!E669-Monthly!#REF!</f>
        <v>#REF!</v>
      </c>
      <c r="C669" s="7">
        <f>100*(LN(Monthly!H669)-LN(Monthly!H668))</f>
        <v>0.38531102408656537</v>
      </c>
      <c r="D669" s="7">
        <v>5.4628377969467498E-2</v>
      </c>
      <c r="E669" s="7" t="e">
        <f>100*(Monthly!#REF!-Monthly!#REF!)</f>
        <v>#REF!</v>
      </c>
      <c r="F669" s="7" t="e">
        <f>100*(Monthly!#REF!-Monthly!#REF!)</f>
        <v>#REF!</v>
      </c>
      <c r="G669" s="7">
        <v>0</v>
      </c>
    </row>
    <row r="670" spans="1:7" x14ac:dyDescent="0.3">
      <c r="A670" s="4">
        <v>42979</v>
      </c>
      <c r="B670" s="5" t="e">
        <f>Monthly!E670-Monthly!#REF!</f>
        <v>#REF!</v>
      </c>
      <c r="C670" s="7">
        <f>100*(LN(Monthly!H670)-LN(Monthly!H669))</f>
        <v>0.89847251207624268</v>
      </c>
      <c r="D670" s="7">
        <v>1.91190393523553</v>
      </c>
      <c r="E670" s="7" t="e">
        <f>100*(Monthly!#REF!-Monthly!#REF!)</f>
        <v>#REF!</v>
      </c>
      <c r="F670" s="7" t="e">
        <f>100*(Monthly!#REF!-Monthly!#REF!)</f>
        <v>#REF!</v>
      </c>
      <c r="G670" s="7">
        <v>0</v>
      </c>
    </row>
    <row r="671" spans="1:7" x14ac:dyDescent="0.3">
      <c r="A671" s="4">
        <v>43009</v>
      </c>
      <c r="B671" s="5" t="e">
        <f>Monthly!E671-Monthly!#REF!</f>
        <v>#REF!</v>
      </c>
      <c r="C671" s="7">
        <f>100*(LN(Monthly!H671)-LN(Monthly!H670))</f>
        <v>0.47615665423101916</v>
      </c>
      <c r="D671" s="7">
        <v>2.19455600318416</v>
      </c>
      <c r="E671" s="7" t="e">
        <f>100*(Monthly!#REF!-Monthly!#REF!)</f>
        <v>#REF!</v>
      </c>
      <c r="F671" s="7" t="e">
        <f>100*(Monthly!#REF!-Monthly!#REF!)</f>
        <v>#REF!</v>
      </c>
      <c r="G671" s="7">
        <v>0</v>
      </c>
    </row>
    <row r="672" spans="1:7" x14ac:dyDescent="0.3">
      <c r="A672" s="4">
        <v>43040</v>
      </c>
      <c r="B672" s="5" t="e">
        <f>Monthly!E672-Monthly!#REF!</f>
        <v>#REF!</v>
      </c>
      <c r="C672" s="7">
        <f>100*(LN(Monthly!H672)-LN(Monthly!H671))</f>
        <v>-0.31818117411708258</v>
      </c>
      <c r="D672" s="7">
        <v>2.76955410466344</v>
      </c>
      <c r="E672" s="7" t="e">
        <f>100*(Monthly!#REF!-Monthly!#REF!)</f>
        <v>#REF!</v>
      </c>
      <c r="F672" s="7" t="e">
        <f>100*(Monthly!#REF!-Monthly!#REF!)</f>
        <v>#REF!</v>
      </c>
      <c r="G672" s="7">
        <v>0</v>
      </c>
    </row>
    <row r="673" spans="1:7" x14ac:dyDescent="0.3">
      <c r="A673" s="4">
        <v>43070</v>
      </c>
      <c r="B673" s="5" t="e">
        <f>Monthly!E673-Monthly!#REF!</f>
        <v>#REF!</v>
      </c>
      <c r="C673" s="7">
        <f>100*(LN(Monthly!H673)-LN(Monthly!H672))</f>
        <v>-4.1433310072047647E-2</v>
      </c>
      <c r="D673" s="7">
        <v>0.978361457487122</v>
      </c>
      <c r="E673" s="7" t="e">
        <f>100*(Monthly!#REF!-Monthly!#REF!)</f>
        <v>#REF!</v>
      </c>
      <c r="F673" s="7" t="e">
        <f>100*(Monthly!#REF!-Monthly!#REF!)</f>
        <v>#REF!</v>
      </c>
      <c r="G673" s="7">
        <v>0</v>
      </c>
    </row>
    <row r="674" spans="1:7" x14ac:dyDescent="0.3">
      <c r="A674" s="4">
        <v>43101</v>
      </c>
      <c r="B674" s="5" t="e">
        <f>Monthly!E674-Monthly!#REF!</f>
        <v>#REF!</v>
      </c>
      <c r="C674" s="7">
        <f>100*(LN(Monthly!H674)-LN(Monthly!H673))</f>
        <v>0.20016930794835019</v>
      </c>
      <c r="D674" s="7">
        <v>5.4657398358328502</v>
      </c>
      <c r="E674" s="7" t="e">
        <f>100*(Monthly!#REF!-Monthly!#REF!)</f>
        <v>#REF!</v>
      </c>
      <c r="F674" s="7" t="e">
        <f>100*(Monthly!#REF!-Monthly!#REF!)</f>
        <v>#REF!</v>
      </c>
      <c r="G674" s="7">
        <v>0</v>
      </c>
    </row>
    <row r="675" spans="1:7" x14ac:dyDescent="0.3">
      <c r="A675" s="4">
        <v>43132</v>
      </c>
      <c r="B675" s="5" t="e">
        <f>Monthly!E675-Monthly!#REF!</f>
        <v>#REF!</v>
      </c>
      <c r="C675" s="7">
        <f>100*(LN(Monthly!H675)-LN(Monthly!H674))</f>
        <v>0.11600341304625061</v>
      </c>
      <c r="D675" s="7">
        <v>-3.97261075980839</v>
      </c>
      <c r="E675" s="7" t="e">
        <f>100*(Monthly!#REF!-Monthly!#REF!)</f>
        <v>#REF!</v>
      </c>
      <c r="F675" s="7" t="e">
        <f>100*(Monthly!#REF!-Monthly!#REF!)</f>
        <v>#REF!</v>
      </c>
      <c r="G675" s="7">
        <v>1</v>
      </c>
    </row>
    <row r="676" spans="1:7" x14ac:dyDescent="0.3">
      <c r="A676" s="4">
        <v>43160</v>
      </c>
      <c r="B676" s="5" t="e">
        <f>Monthly!E676-Monthly!#REF!</f>
        <v>#REF!</v>
      </c>
      <c r="C676" s="7">
        <f>100*(LN(Monthly!H676)-LN(Monthly!H675))</f>
        <v>0.52898524247781964</v>
      </c>
      <c r="D676" s="7">
        <v>-2.7252497366939901</v>
      </c>
      <c r="E676" s="7" t="e">
        <f>100*(Monthly!#REF!-Monthly!#REF!)</f>
        <v>#REF!</v>
      </c>
      <c r="F676" s="7" t="e">
        <f>100*(Monthly!#REF!-Monthly!#REF!)</f>
        <v>#REF!</v>
      </c>
      <c r="G676" s="7">
        <v>1</v>
      </c>
    </row>
    <row r="677" spans="1:7" x14ac:dyDescent="0.3">
      <c r="A677" s="4">
        <v>43191</v>
      </c>
      <c r="B677" s="5" t="e">
        <f>Monthly!E677-Monthly!#REF!</f>
        <v>#REF!</v>
      </c>
      <c r="C677" s="7">
        <f>100*(LN(Monthly!H677)-LN(Monthly!H676))</f>
        <v>2.0458817716368927</v>
      </c>
      <c r="D677" s="7">
        <v>0.27150858118244697</v>
      </c>
      <c r="E677" s="7" t="e">
        <f>100*(Monthly!#REF!-Monthly!#REF!)</f>
        <v>#REF!</v>
      </c>
      <c r="F677" s="7" t="e">
        <f>100*(Monthly!#REF!-Monthly!#REF!)</f>
        <v>#REF!</v>
      </c>
      <c r="G677" s="7">
        <v>1</v>
      </c>
    </row>
    <row r="678" spans="1:7" x14ac:dyDescent="0.3">
      <c r="A678" s="4">
        <v>43221</v>
      </c>
      <c r="B678" s="5" t="e">
        <f>Monthly!E678-Monthly!#REF!</f>
        <v>#REF!</v>
      </c>
      <c r="C678" s="7">
        <f>100*(LN(Monthly!H678)-LN(Monthly!H677))</f>
        <v>0.30243832870970877</v>
      </c>
      <c r="D678" s="7">
        <v>2.1378191183066102</v>
      </c>
      <c r="E678" s="7" t="e">
        <f>100*(Monthly!#REF!-Monthly!#REF!)</f>
        <v>#REF!</v>
      </c>
      <c r="F678" s="7" t="e">
        <f>100*(Monthly!#REF!-Monthly!#REF!)</f>
        <v>#REF!</v>
      </c>
      <c r="G678" s="7">
        <v>0</v>
      </c>
    </row>
    <row r="679" spans="1:7" x14ac:dyDescent="0.3">
      <c r="A679" s="4">
        <v>43252</v>
      </c>
      <c r="B679" s="5" t="e">
        <f>Monthly!E679-Monthly!#REF!</f>
        <v>#REF!</v>
      </c>
      <c r="C679" s="7">
        <f>100*(LN(Monthly!H679)-LN(Monthly!H678))</f>
        <v>0.79943151193582196</v>
      </c>
      <c r="D679" s="7">
        <v>0.483074938657028</v>
      </c>
      <c r="E679" s="7" t="e">
        <f>100*(Monthly!#REF!-Monthly!#REF!)</f>
        <v>#REF!</v>
      </c>
      <c r="F679" s="7" t="e">
        <f>100*(Monthly!#REF!-Monthly!#REF!)</f>
        <v>#REF!</v>
      </c>
      <c r="G679" s="7">
        <v>0</v>
      </c>
    </row>
    <row r="680" spans="1:7" x14ac:dyDescent="0.3">
      <c r="A680" s="4">
        <v>43282</v>
      </c>
      <c r="B680" s="5" t="e">
        <f>Monthly!E680-Monthly!#REF!</f>
        <v>#REF!</v>
      </c>
      <c r="C680" s="7">
        <f>100*(LN(Monthly!H680)-LN(Monthly!H679))</f>
        <v>0.59016609643025575</v>
      </c>
      <c r="D680" s="7">
        <v>3.5387950737524201</v>
      </c>
      <c r="E680" s="7" t="e">
        <f>100*(Monthly!#REF!-Monthly!#REF!)</f>
        <v>#REF!</v>
      </c>
      <c r="F680" s="7" t="e">
        <f>100*(Monthly!#REF!-Monthly!#REF!)</f>
        <v>#REF!</v>
      </c>
      <c r="G680" s="7">
        <v>0</v>
      </c>
    </row>
    <row r="681" spans="1:7" x14ac:dyDescent="0.3">
      <c r="A681" s="4">
        <v>43313</v>
      </c>
      <c r="B681" s="5" t="e">
        <f>Monthly!E681-Monthly!#REF!</f>
        <v>#REF!</v>
      </c>
      <c r="C681" s="7">
        <f>100*(LN(Monthly!H681)-LN(Monthly!H680))</f>
        <v>0.24754136688915906</v>
      </c>
      <c r="D681" s="7">
        <v>2.9814314524382399</v>
      </c>
      <c r="E681" s="7" t="e">
        <f>100*(Monthly!#REF!-Monthly!#REF!)</f>
        <v>#REF!</v>
      </c>
      <c r="F681" s="7" t="e">
        <f>100*(Monthly!#REF!-Monthly!#REF!)</f>
        <v>#REF!</v>
      </c>
      <c r="G681" s="7">
        <v>0</v>
      </c>
    </row>
    <row r="682" spans="1:7" x14ac:dyDescent="0.3">
      <c r="A682" s="4">
        <v>43344</v>
      </c>
      <c r="B682" s="5" t="e">
        <f>Monthly!E682-Monthly!#REF!</f>
        <v>#REF!</v>
      </c>
      <c r="C682" s="7">
        <f>100*(LN(Monthly!H682)-LN(Monthly!H681))</f>
        <v>0.73631350822456199</v>
      </c>
      <c r="D682" s="7">
        <v>0.428509328633362</v>
      </c>
      <c r="E682" s="7" t="e">
        <f>100*(Monthly!#REF!-Monthly!#REF!)</f>
        <v>#REF!</v>
      </c>
      <c r="F682" s="7" t="e">
        <f>100*(Monthly!#REF!-Monthly!#REF!)</f>
        <v>#REF!</v>
      </c>
      <c r="G682" s="7">
        <v>0</v>
      </c>
    </row>
    <row r="683" spans="1:7" x14ac:dyDescent="0.3">
      <c r="A683" s="4">
        <v>43374</v>
      </c>
      <c r="B683" s="5" t="e">
        <f>Monthly!E683-Monthly!#REF!</f>
        <v>#REF!</v>
      </c>
      <c r="C683" s="7">
        <f>100*(LN(Monthly!H683)-LN(Monthly!H682))</f>
        <v>1.1019686468210388</v>
      </c>
      <c r="D683" s="7">
        <v>-7.1929345954296799</v>
      </c>
      <c r="E683" s="7" t="e">
        <f>100*(Monthly!#REF!-Monthly!#REF!)</f>
        <v>#REF!</v>
      </c>
      <c r="F683" s="7" t="e">
        <f>100*(Monthly!#REF!-Monthly!#REF!)</f>
        <v>#REF!</v>
      </c>
      <c r="G683" s="7">
        <v>1</v>
      </c>
    </row>
    <row r="684" spans="1:7" x14ac:dyDescent="0.3">
      <c r="A684" s="4">
        <v>43405</v>
      </c>
      <c r="B684" s="5" t="e">
        <f>Monthly!E684-Monthly!#REF!</f>
        <v>#REF!</v>
      </c>
      <c r="C684" s="7">
        <f>100*(LN(Monthly!H684)-LN(Monthly!H683))</f>
        <v>1.0387272398217462</v>
      </c>
      <c r="D684" s="7">
        <v>1.7701752056117499</v>
      </c>
      <c r="E684" s="7" t="e">
        <f>100*(Monthly!#REF!-Monthly!#REF!)</f>
        <v>#REF!</v>
      </c>
      <c r="F684" s="7" t="e">
        <f>100*(Monthly!#REF!-Monthly!#REF!)</f>
        <v>#REF!</v>
      </c>
      <c r="G684" s="7">
        <v>1</v>
      </c>
    </row>
    <row r="685" spans="1:7" x14ac:dyDescent="0.3">
      <c r="A685" s="4">
        <v>43435</v>
      </c>
      <c r="B685" s="5" t="e">
        <f>Monthly!E685-Monthly!#REF!</f>
        <v>#REF!</v>
      </c>
      <c r="C685" s="7">
        <f>100*(LN(Monthly!H685)-LN(Monthly!H684))</f>
        <v>1.293449033934202</v>
      </c>
      <c r="D685" s="7">
        <v>-9.6265219857898998</v>
      </c>
      <c r="E685" s="7" t="e">
        <f>100*(Monthly!#REF!-Monthly!#REF!)</f>
        <v>#REF!</v>
      </c>
      <c r="F685" s="7" t="e">
        <f>100*(Monthly!#REF!-Monthly!#REF!)</f>
        <v>#REF!</v>
      </c>
      <c r="G685" s="7">
        <v>1</v>
      </c>
    </row>
    <row r="686" spans="1:7" x14ac:dyDescent="0.3">
      <c r="A686" s="4">
        <v>43466</v>
      </c>
      <c r="B686" s="5" t="e">
        <f>Monthly!E686-Monthly!#REF!</f>
        <v>#REF!</v>
      </c>
      <c r="C686" s="7">
        <f>100*(LN(Monthly!H686)-LN(Monthly!H685))</f>
        <v>0.93802052644145206</v>
      </c>
      <c r="D686" s="7">
        <v>7.5742151986755903</v>
      </c>
      <c r="E686" s="7" t="e">
        <f>100*(Monthly!#REF!-Monthly!#REF!)</f>
        <v>#REF!</v>
      </c>
      <c r="F686" s="7" t="e">
        <f>100*(Monthly!#REF!-Monthly!#REF!)</f>
        <v>#REF!</v>
      </c>
      <c r="G686" s="7">
        <v>1</v>
      </c>
    </row>
    <row r="687" spans="1:7" x14ac:dyDescent="0.3">
      <c r="A687" s="4">
        <v>43497</v>
      </c>
      <c r="B687" s="5" t="e">
        <f>Monthly!E687-Monthly!#REF!</f>
        <v>#REF!</v>
      </c>
      <c r="C687" s="7">
        <f>100*(LN(Monthly!H687)-LN(Monthly!H686))</f>
        <v>0.28664931353024059</v>
      </c>
      <c r="D687" s="7">
        <v>2.92955533654023</v>
      </c>
      <c r="E687" s="7" t="e">
        <f>100*(Monthly!#REF!-Monthly!#REF!)</f>
        <v>#REF!</v>
      </c>
      <c r="F687" s="7" t="e">
        <f>100*(Monthly!#REF!-Monthly!#REF!)</f>
        <v>#REF!</v>
      </c>
      <c r="G687" s="7">
        <v>0</v>
      </c>
    </row>
    <row r="688" spans="1:7" x14ac:dyDescent="0.3">
      <c r="A688" s="4">
        <v>43525</v>
      </c>
      <c r="B688" s="5" t="e">
        <f>Monthly!E688-Monthly!#REF!</f>
        <v>#REF!</v>
      </c>
      <c r="C688" s="7">
        <f>100*(LN(Monthly!H688)-LN(Monthly!H687))</f>
        <v>0.23528943421942117</v>
      </c>
      <c r="D688" s="7">
        <v>1.77655108902287</v>
      </c>
      <c r="E688" s="7" t="e">
        <f>100*(Monthly!#REF!-Monthly!#REF!)</f>
        <v>#REF!</v>
      </c>
      <c r="F688" s="7" t="e">
        <f>100*(Monthly!#REF!-Monthly!#REF!)</f>
        <v>#REF!</v>
      </c>
      <c r="G688" s="7">
        <v>0</v>
      </c>
    </row>
    <row r="689" spans="1:7" x14ac:dyDescent="0.3">
      <c r="A689" s="4">
        <v>43556</v>
      </c>
      <c r="B689" s="5" t="e">
        <f>Monthly!E689-Monthly!#REF!</f>
        <v>#REF!</v>
      </c>
      <c r="C689" s="7">
        <f>100*(LN(Monthly!H689)-LN(Monthly!H688))</f>
        <v>-0.3463827441295031</v>
      </c>
      <c r="D689" s="7">
        <v>3.8560397417570802</v>
      </c>
      <c r="E689" s="7" t="e">
        <f>100*(Monthly!#REF!-Monthly!#REF!)</f>
        <v>#REF!</v>
      </c>
      <c r="F689" s="7" t="e">
        <f>100*(Monthly!#REF!-Monthly!#REF!)</f>
        <v>#REF!</v>
      </c>
      <c r="G689" s="7">
        <v>0</v>
      </c>
    </row>
    <row r="690" spans="1:7" x14ac:dyDescent="0.3">
      <c r="A690" s="4">
        <v>43586</v>
      </c>
      <c r="B690" s="5" t="e">
        <f>Monthly!E690-Monthly!#REF!</f>
        <v>#REF!</v>
      </c>
      <c r="C690" s="7">
        <f>100*(LN(Monthly!H690)-LN(Monthly!H689))</f>
        <v>0.19953900979450268</v>
      </c>
      <c r="D690" s="7">
        <v>-6.80408940828739</v>
      </c>
      <c r="E690" s="7" t="e">
        <f>100*(Monthly!#REF!-Monthly!#REF!)</f>
        <v>#REF!</v>
      </c>
      <c r="F690" s="7" t="e">
        <f>100*(Monthly!#REF!-Monthly!#REF!)</f>
        <v>#REF!</v>
      </c>
      <c r="G690" s="7">
        <v>0</v>
      </c>
    </row>
    <row r="691" spans="1:7" x14ac:dyDescent="0.3">
      <c r="A691" s="4">
        <v>43617</v>
      </c>
      <c r="B691" s="5" t="e">
        <f>Monthly!E691-Monthly!#REF!</f>
        <v>#REF!</v>
      </c>
      <c r="C691" s="7">
        <f>100*(LN(Monthly!H691)-LN(Monthly!H690))</f>
        <v>0.19962053060407214</v>
      </c>
      <c r="D691" s="7">
        <v>6.6658301563026097</v>
      </c>
      <c r="E691" s="7" t="e">
        <f>100*(Monthly!#REF!-Monthly!#REF!)</f>
        <v>#REF!</v>
      </c>
      <c r="F691" s="7" t="e">
        <f>100*(Monthly!#REF!-Monthly!#REF!)</f>
        <v>#REF!</v>
      </c>
      <c r="G691" s="7">
        <v>0</v>
      </c>
    </row>
    <row r="692" spans="1:7" x14ac:dyDescent="0.3">
      <c r="A692" s="4">
        <v>43647</v>
      </c>
      <c r="B692" s="5" t="e">
        <f>Monthly!E692-Monthly!#REF!</f>
        <v>#REF!</v>
      </c>
      <c r="C692" s="7">
        <f>100*(LN(Monthly!H692)-LN(Monthly!H691))</f>
        <v>0.28610043219439163</v>
      </c>
      <c r="D692" s="7">
        <v>1.3042724833705199</v>
      </c>
      <c r="E692" s="7" t="e">
        <f>100*(Monthly!#REF!-Monthly!#REF!)</f>
        <v>#REF!</v>
      </c>
      <c r="F692" s="7" t="e">
        <f>100*(Monthly!#REF!-Monthly!#REF!)</f>
        <v>#REF!</v>
      </c>
      <c r="G692" s="7">
        <v>0</v>
      </c>
    </row>
    <row r="693" spans="1:7" x14ac:dyDescent="0.3">
      <c r="A693" s="4">
        <v>43678</v>
      </c>
      <c r="B693" s="5" t="e">
        <f>Monthly!E693-Monthly!#REF!</f>
        <v>#REF!</v>
      </c>
      <c r="C693" s="7">
        <f>100*(LN(Monthly!H693)-LN(Monthly!H692))</f>
        <v>0.7806779456622337</v>
      </c>
      <c r="D693" s="7">
        <v>-1.8257281743262199</v>
      </c>
      <c r="E693" s="7" t="e">
        <f>100*(Monthly!#REF!-Monthly!#REF!)</f>
        <v>#REF!</v>
      </c>
      <c r="F693" s="7" t="e">
        <f>100*(Monthly!#REF!-Monthly!#REF!)</f>
        <v>#REF!</v>
      </c>
      <c r="G693" s="7">
        <v>1</v>
      </c>
    </row>
    <row r="694" spans="1:7" x14ac:dyDescent="0.3">
      <c r="A694" s="4">
        <v>43709</v>
      </c>
      <c r="B694" s="5" t="e">
        <f>Monthly!E694-Monthly!#REF!</f>
        <v>#REF!</v>
      </c>
      <c r="C694" s="7">
        <f>100*(LN(Monthly!H694)-LN(Monthly!H693))</f>
        <v>0.27845803751809228</v>
      </c>
      <c r="D694" s="7">
        <v>1.70352505910719</v>
      </c>
      <c r="E694" s="7" t="e">
        <f>100*(Monthly!#REF!-Monthly!#REF!)</f>
        <v>#REF!</v>
      </c>
      <c r="F694" s="7" t="e">
        <f>100*(Monthly!#REF!-Monthly!#REF!)</f>
        <v>#REF!</v>
      </c>
      <c r="G694" s="7">
        <v>0</v>
      </c>
    </row>
    <row r="695" spans="1:7" x14ac:dyDescent="0.3">
      <c r="A695" s="4">
        <v>43739</v>
      </c>
      <c r="B695" s="5" t="e">
        <f>Monthly!E695-Monthly!#REF!</f>
        <v>#REF!</v>
      </c>
      <c r="C695" s="7">
        <f>100*(LN(Monthly!H695)-LN(Monthly!H694))</f>
        <v>2.4889859728816077E-4</v>
      </c>
      <c r="D695" s="7">
        <v>2.0225842153317402</v>
      </c>
      <c r="E695" s="7" t="e">
        <f>100*(Monthly!#REF!-Monthly!#REF!)</f>
        <v>#REF!</v>
      </c>
      <c r="F695" s="7" t="e">
        <f>100*(Monthly!#REF!-Monthly!#REF!)</f>
        <v>#REF!</v>
      </c>
      <c r="G695" s="7">
        <v>0</v>
      </c>
    </row>
    <row r="696" spans="1:7" x14ac:dyDescent="0.3">
      <c r="A696" s="4">
        <v>43770</v>
      </c>
      <c r="B696" s="5" t="e">
        <f>Monthly!E696-Monthly!#REF!</f>
        <v>#REF!</v>
      </c>
      <c r="C696" s="7">
        <f>100*(LN(Monthly!H696)-LN(Monthly!H695))</f>
        <v>-6.668478428393243E-2</v>
      </c>
      <c r="D696" s="7">
        <v>3.3480266071378102</v>
      </c>
      <c r="E696" s="7" t="e">
        <f>100*(Monthly!#REF!-Monthly!#REF!)</f>
        <v>#REF!</v>
      </c>
      <c r="F696" s="7" t="e">
        <f>100*(Monthly!#REF!-Monthly!#REF!)</f>
        <v>#REF!</v>
      </c>
      <c r="G696" s="7">
        <v>0</v>
      </c>
    </row>
    <row r="697" spans="1:7" x14ac:dyDescent="0.3">
      <c r="A697" s="4">
        <v>43800</v>
      </c>
      <c r="B697" s="5" t="e">
        <f>Monthly!E697-Monthly!#REF!</f>
        <v>#REF!</v>
      </c>
      <c r="C697" s="7">
        <f>100*(LN(Monthly!H697)-LN(Monthly!H696))</f>
        <v>-0.47657226249979701</v>
      </c>
      <c r="D697" s="7">
        <v>2.8188756298542099</v>
      </c>
      <c r="E697" s="7" t="e">
        <f>100*(Monthly!#REF!-Monthly!#REF!)</f>
        <v>#REF!</v>
      </c>
      <c r="F697" s="7" t="e">
        <f>100*(Monthly!#REF!-Monthly!#REF!)</f>
        <v>#REF!</v>
      </c>
      <c r="G697" s="7">
        <v>0</v>
      </c>
    </row>
    <row r="698" spans="1:7" x14ac:dyDescent="0.3">
      <c r="A698" s="4">
        <v>43831</v>
      </c>
      <c r="B698" s="5" t="e">
        <f>Monthly!E698-Monthly!#REF!</f>
        <v>#REF!</v>
      </c>
      <c r="C698" s="7">
        <f>100*(LN(Monthly!H698)-LN(Monthly!H697))</f>
        <v>-0.15848123531503333</v>
      </c>
      <c r="D698" s="7">
        <v>-0.162941960244258</v>
      </c>
      <c r="E698" s="7" t="e">
        <f>100*(Monthly!#REF!-Monthly!#REF!)</f>
        <v>#REF!</v>
      </c>
      <c r="F698" s="7" t="e">
        <f>100*(Monthly!#REF!-Monthly!#REF!)</f>
        <v>#REF!</v>
      </c>
      <c r="G698" s="7">
        <v>0</v>
      </c>
    </row>
    <row r="699" spans="1:7" x14ac:dyDescent="0.3">
      <c r="A699" s="4">
        <v>43862</v>
      </c>
      <c r="B699" s="5" t="e">
        <f>Monthly!E699-Monthly!#REF!</f>
        <v>#REF!</v>
      </c>
      <c r="C699" s="7">
        <f>100*(LN(Monthly!H699)-LN(Monthly!H698))</f>
        <v>-0.13892314579466714</v>
      </c>
      <c r="D699" s="7">
        <v>-8.7859536908387703</v>
      </c>
      <c r="E699" s="7" t="e">
        <f>100*(Monthly!#REF!-Monthly!#REF!)</f>
        <v>#REF!</v>
      </c>
      <c r="F699" s="7" t="e">
        <f>100*(Monthly!#REF!-Monthly!#REF!)</f>
        <v>#REF!</v>
      </c>
      <c r="G699" s="7">
        <v>1</v>
      </c>
    </row>
    <row r="700" spans="1:7" x14ac:dyDescent="0.3">
      <c r="A700" s="4">
        <v>43891</v>
      </c>
      <c r="B700" s="5" t="e">
        <f>Monthly!E700-Monthly!#REF!</f>
        <v>#REF!</v>
      </c>
      <c r="C700" s="7">
        <f>100*(LN(Monthly!H700)-LN(Monthly!H699))</f>
        <v>8.7017141453038072</v>
      </c>
      <c r="D700" s="7">
        <v>-13.3667724670374</v>
      </c>
      <c r="E700" s="7" t="e">
        <f>100*(Monthly!#REF!-Monthly!#REF!)</f>
        <v>#REF!</v>
      </c>
      <c r="F700" s="7" t="e">
        <f>100*(Monthly!#REF!-Monthly!#REF!)</f>
        <v>#REF!</v>
      </c>
      <c r="G700" s="7">
        <v>1</v>
      </c>
    </row>
    <row r="701" spans="1:7" x14ac:dyDescent="0.3">
      <c r="A701" s="4">
        <v>43922</v>
      </c>
      <c r="B701" s="5" t="e">
        <f>Monthly!E701-Monthly!#REF!</f>
        <v>#REF!</v>
      </c>
      <c r="C701" s="7">
        <f>100*(LN(Monthly!H701)-LN(Monthly!H700))</f>
        <v>13.020288214561226</v>
      </c>
      <c r="D701" s="7">
        <v>11.9420838760176</v>
      </c>
      <c r="E701" s="7" t="e">
        <f>100*(Monthly!#REF!-Monthly!#REF!)</f>
        <v>#REF!</v>
      </c>
      <c r="F701" s="7" t="e">
        <f>100*(Monthly!#REF!-Monthly!#REF!)</f>
        <v>#REF!</v>
      </c>
      <c r="G701" s="7">
        <v>1</v>
      </c>
    </row>
    <row r="702" spans="1:7" x14ac:dyDescent="0.3">
      <c r="A702" s="4">
        <v>43952</v>
      </c>
      <c r="B702" s="5" t="e">
        <f>Monthly!E702-Monthly!#REF!</f>
        <v>#REF!</v>
      </c>
      <c r="C702" s="7">
        <f>100*(LN(Monthly!H702)-LN(Monthly!H701))</f>
        <v>3.8582606796297547</v>
      </c>
      <c r="D702" s="7">
        <v>4.4286532949096902</v>
      </c>
      <c r="E702" s="7" t="e">
        <f>100*(Monthly!#REF!-Monthly!#REF!)</f>
        <v>#REF!</v>
      </c>
      <c r="F702" s="7" t="e">
        <f>100*(Monthly!#REF!-Monthly!#REF!)</f>
        <v>#REF!</v>
      </c>
      <c r="G702" s="7">
        <v>1</v>
      </c>
    </row>
    <row r="703" spans="1:7" x14ac:dyDescent="0.3">
      <c r="A703" s="4">
        <v>43983</v>
      </c>
      <c r="B703" s="5" t="e">
        <f>Monthly!E703-Monthly!#REF!</f>
        <v>#REF!</v>
      </c>
      <c r="C703" s="7">
        <f>100*(LN(Monthly!H703)-LN(Monthly!H702))</f>
        <v>-3.707783356386507</v>
      </c>
      <c r="D703" s="7">
        <v>1.82213743567191</v>
      </c>
      <c r="E703" s="7" t="e">
        <f>100*(Monthly!#REF!-Monthly!#REF!)</f>
        <v>#REF!</v>
      </c>
      <c r="F703" s="7" t="e">
        <f>100*(Monthly!#REF!-Monthly!#REF!)</f>
        <v>#REF!</v>
      </c>
      <c r="G703" s="7">
        <v>1</v>
      </c>
    </row>
    <row r="704" spans="1:7" x14ac:dyDescent="0.3">
      <c r="A704" s="4">
        <v>44013</v>
      </c>
      <c r="B704" s="5" t="e">
        <f>Monthly!E704-Monthly!#REF!</f>
        <v>#REF!</v>
      </c>
      <c r="C704" s="7">
        <f>100*(LN(Monthly!H704)-LN(Monthly!H703))</f>
        <v>-2.3928793359692335</v>
      </c>
      <c r="D704" s="7">
        <v>5.3636801634505797</v>
      </c>
      <c r="E704" s="7" t="e">
        <f>100*(Monthly!#REF!-Monthly!#REF!)</f>
        <v>#REF!</v>
      </c>
      <c r="F704" s="7" t="e">
        <f>100*(Monthly!#REF!-Monthly!#REF!)</f>
        <v>#REF!</v>
      </c>
      <c r="G704" s="7">
        <v>0</v>
      </c>
    </row>
    <row r="705" spans="1:7" x14ac:dyDescent="0.3">
      <c r="A705" s="4">
        <v>44044</v>
      </c>
      <c r="B705" s="5" t="e">
        <f>Monthly!E705-Monthly!#REF!</f>
        <v>#REF!</v>
      </c>
      <c r="C705" s="7">
        <f>100*(LN(Monthly!H705)-LN(Monthly!H704))</f>
        <v>-1.44897401644144</v>
      </c>
      <c r="D705" s="7">
        <v>6.7719083004357303</v>
      </c>
      <c r="E705" s="7" t="e">
        <f>100*(Monthly!#REF!-Monthly!#REF!)</f>
        <v>#REF!</v>
      </c>
      <c r="F705" s="7" t="e">
        <f>100*(Monthly!#REF!-Monthly!#REF!)</f>
        <v>#REF!</v>
      </c>
      <c r="G705" s="7">
        <v>0</v>
      </c>
    </row>
    <row r="706" spans="1:7" x14ac:dyDescent="0.3">
      <c r="A706" s="4">
        <v>44075</v>
      </c>
      <c r="B706" s="5" t="e">
        <f>Monthly!E706-Monthly!#REF!</f>
        <v>#REF!</v>
      </c>
      <c r="C706" s="7">
        <f>100*(LN(Monthly!H706)-LN(Monthly!H705))</f>
        <v>-1.9750075322561678</v>
      </c>
      <c r="D706" s="7">
        <v>-4.0018119983178</v>
      </c>
      <c r="E706" s="7" t="e">
        <f>100*(Monthly!#REF!-Monthly!#REF!)</f>
        <v>#REF!</v>
      </c>
      <c r="F706" s="7" t="e">
        <f>100*(Monthly!#REF!-Monthly!#REF!)</f>
        <v>#REF!</v>
      </c>
      <c r="G706" s="7">
        <v>1</v>
      </c>
    </row>
    <row r="707" spans="1:7" x14ac:dyDescent="0.3">
      <c r="A707" s="4">
        <v>44105</v>
      </c>
      <c r="B707" s="5" t="e">
        <f>Monthly!E707-Monthly!#REF!</f>
        <v>#REF!</v>
      </c>
      <c r="C707" s="7">
        <f>100*(LN(Monthly!H707)-LN(Monthly!H706))</f>
        <v>-2.2595570423286304</v>
      </c>
      <c r="D707" s="7">
        <v>-2.8055692285554099</v>
      </c>
      <c r="E707" s="7" t="e">
        <f>100*(Monthly!#REF!-Monthly!#REF!)</f>
        <v>#REF!</v>
      </c>
      <c r="F707" s="7" t="e">
        <f>100*(Monthly!#REF!-Monthly!#REF!)</f>
        <v>#REF!</v>
      </c>
      <c r="G707" s="7">
        <v>1</v>
      </c>
    </row>
    <row r="708" spans="1:7" x14ac:dyDescent="0.3">
      <c r="A708" s="4">
        <v>44136</v>
      </c>
      <c r="B708" s="5" t="e">
        <f>Monthly!E708-Monthly!#REF!</f>
        <v>#REF!</v>
      </c>
      <c r="C708" s="7">
        <f>100*(LN(Monthly!H708)-LN(Monthly!H707))</f>
        <v>-2.2883293557481643</v>
      </c>
      <c r="D708" s="7">
        <v>10.214642790659999</v>
      </c>
      <c r="E708" s="7" t="e">
        <f>100*(Monthly!#REF!-Monthly!#REF!)</f>
        <v>#REF!</v>
      </c>
      <c r="F708" s="7" t="e">
        <f>100*(Monthly!#REF!-Monthly!#REF!)</f>
        <v>#REF!</v>
      </c>
      <c r="G708" s="7">
        <v>0</v>
      </c>
    </row>
    <row r="709" spans="1:7" x14ac:dyDescent="0.3">
      <c r="A709" s="4">
        <v>44166</v>
      </c>
      <c r="B709" s="5" t="e">
        <f>Monthly!E709-Monthly!#REF!</f>
        <v>#REF!</v>
      </c>
      <c r="C709" s="7">
        <f>100*(LN(Monthly!H709)-LN(Monthly!H708))</f>
        <v>-1.784971925112</v>
      </c>
      <c r="D709" s="7">
        <v>3.64490478405915</v>
      </c>
      <c r="E709" s="7" t="e">
        <f>100*(Monthly!#REF!-Monthly!#REF!)</f>
        <v>#REF!</v>
      </c>
      <c r="F709" s="7" t="e">
        <f>100*(Monthly!#REF!-Monthly!#REF!)</f>
        <v>#REF!</v>
      </c>
      <c r="G709" s="7">
        <v>0</v>
      </c>
    </row>
    <row r="710" spans="1:7" x14ac:dyDescent="0.3">
      <c r="A710" s="4">
        <v>44197</v>
      </c>
      <c r="B710" s="5" t="e">
        <f>Monthly!E710-Monthly!#REF!</f>
        <v>#REF!</v>
      </c>
      <c r="C710" s="7">
        <f>100*(LN(Monthly!H710)-LN(Monthly!H709))</f>
        <v>-1.135028929470927</v>
      </c>
      <c r="D710" s="7">
        <v>-1.11991376508885</v>
      </c>
      <c r="E710" s="7" t="e">
        <f>100*(Monthly!#REF!-Monthly!#REF!)</f>
        <v>#REF!</v>
      </c>
      <c r="F710" s="7" t="e">
        <f>100*(Monthly!#REF!-Monthly!#REF!)</f>
        <v>#REF!</v>
      </c>
      <c r="G710" s="7">
        <v>1</v>
      </c>
    </row>
    <row r="711" spans="1:7" x14ac:dyDescent="0.3">
      <c r="A711" s="4">
        <v>44228</v>
      </c>
      <c r="B711" s="5" t="e">
        <f>Monthly!E711-Monthly!#REF!</f>
        <v>#REF!</v>
      </c>
      <c r="C711" s="7">
        <f>100*(LN(Monthly!H711)-LN(Monthly!H710))</f>
        <v>0.97935849535391029</v>
      </c>
      <c r="D711" s="7">
        <v>2.5756876672536602</v>
      </c>
      <c r="E711" s="7" t="e">
        <f>100*(Monthly!#REF!-Monthly!#REF!)</f>
        <v>#REF!</v>
      </c>
      <c r="F711" s="7" t="e">
        <f>100*(Monthly!#REF!-Monthly!#REF!)</f>
        <v>#REF!</v>
      </c>
      <c r="G711" s="7">
        <v>0</v>
      </c>
    </row>
    <row r="712" spans="1:7" x14ac:dyDescent="0.3">
      <c r="A712" s="4">
        <v>44256</v>
      </c>
      <c r="B712" s="5" t="e">
        <f>Monthly!E712-Monthly!#REF!</f>
        <v>#REF!</v>
      </c>
      <c r="C712" s="7">
        <f>100*(LN(Monthly!H712)-LN(Monthly!H711))</f>
        <v>7.1172108588868355E-3</v>
      </c>
      <c r="D712" s="7">
        <v>4.1562807282546599</v>
      </c>
      <c r="E712" s="7" t="e">
        <f>100*(Monthly!#REF!-Monthly!#REF!)</f>
        <v>#REF!</v>
      </c>
      <c r="F712" s="7" t="e">
        <f>100*(Monthly!#REF!-Monthly!#REF!)</f>
        <v>#REF!</v>
      </c>
      <c r="G712" s="7">
        <v>1</v>
      </c>
    </row>
    <row r="713" spans="1:7" x14ac:dyDescent="0.3">
      <c r="A713" s="4">
        <v>44287</v>
      </c>
      <c r="B713" s="5" t="e">
        <f>Monthly!E713-Monthly!#REF!</f>
        <v>#REF!</v>
      </c>
      <c r="C713" s="7">
        <f>100*(LN(Monthly!H713)-LN(Monthly!H712))</f>
        <v>-1.1831523777076747</v>
      </c>
      <c r="D713" s="7">
        <v>5.1097330468056397</v>
      </c>
      <c r="E713" s="7" t="e">
        <f>100*(Monthly!#REF!-Monthly!#REF!)</f>
        <v>#REF!</v>
      </c>
      <c r="F713" s="7" t="e">
        <f>100*(Monthly!#REF!-Monthly!#REF!)</f>
        <v>#REF!</v>
      </c>
      <c r="G713" s="7">
        <v>0</v>
      </c>
    </row>
    <row r="714" spans="1:7" x14ac:dyDescent="0.3">
      <c r="A714" s="4">
        <v>44317</v>
      </c>
      <c r="B714" s="5" t="e">
        <f>Monthly!E714-Monthly!#REF!</f>
        <v>#REF!</v>
      </c>
      <c r="C714" s="7">
        <f>100*(LN(Monthly!H714)-LN(Monthly!H713))</f>
        <v>-0.42064139091637642</v>
      </c>
      <c r="D714" s="7">
        <v>0.54714927167232696</v>
      </c>
      <c r="E714" s="7" t="e">
        <f>100*(Monthly!#REF!-Monthly!#REF!)</f>
        <v>#REF!</v>
      </c>
      <c r="F714" s="7" t="e">
        <f>100*(Monthly!#REF!-Monthly!#REF!)</f>
        <v>#REF!</v>
      </c>
      <c r="G714" s="7">
        <v>0</v>
      </c>
    </row>
    <row r="715" spans="1:7" x14ac:dyDescent="0.3">
      <c r="A715" s="4">
        <v>44348</v>
      </c>
      <c r="B715" s="5" t="e">
        <f>Monthly!E715-Monthly!#REF!</f>
        <v>#REF!</v>
      </c>
      <c r="C715" s="7">
        <f>100*(LN(Monthly!H715)-LN(Monthly!H714))</f>
        <v>-2.6908650341020746</v>
      </c>
      <c r="D715" s="7">
        <v>2.1970872566122401</v>
      </c>
      <c r="E715" s="7" t="e">
        <f>100*(Monthly!#REF!-Monthly!#REF!)</f>
        <v>#REF!</v>
      </c>
      <c r="F715" s="7" t="e">
        <f>100*(Monthly!#REF!-Monthly!#REF!)</f>
        <v>#REF!</v>
      </c>
      <c r="G715" s="7">
        <v>0</v>
      </c>
    </row>
    <row r="716" spans="1:7" x14ac:dyDescent="0.3">
      <c r="A716" s="4">
        <v>44378</v>
      </c>
      <c r="B716" s="5" t="e">
        <f>Monthly!E716-Monthly!#REF!</f>
        <v>#REF!</v>
      </c>
      <c r="C716" s="7">
        <f>100*(LN(Monthly!H716)-LN(Monthly!H715))</f>
        <v>-1.1232982161996752</v>
      </c>
      <c r="D716" s="7">
        <v>2.2493175922251298</v>
      </c>
      <c r="E716" s="7" t="e">
        <f>100*(Monthly!#REF!-Monthly!#REF!)</f>
        <v>#REF!</v>
      </c>
      <c r="F716" s="7" t="e">
        <f>100*(Monthly!#REF!-Monthly!#REF!)</f>
        <v>#REF!</v>
      </c>
      <c r="G716" s="7">
        <v>0</v>
      </c>
    </row>
    <row r="717" spans="1:7" x14ac:dyDescent="0.3">
      <c r="A717" s="4">
        <v>44409</v>
      </c>
      <c r="B717" s="5" t="e">
        <f>Monthly!E717-Monthly!#REF!</f>
        <v>#REF!</v>
      </c>
      <c r="C717" s="7">
        <f>100*(LN(Monthly!H717)-LN(Monthly!H716))</f>
        <v>-0.90124450206365836</v>
      </c>
      <c r="D717" s="7">
        <v>2.8578143159792502</v>
      </c>
      <c r="E717" s="7" t="e">
        <f>100*(Monthly!#REF!-Monthly!#REF!)</f>
        <v>#REF!</v>
      </c>
      <c r="F717" s="7" t="e">
        <f>100*(Monthly!#REF!-Monthly!#REF!)</f>
        <v>#REF!</v>
      </c>
      <c r="G717" s="7">
        <v>0</v>
      </c>
    </row>
    <row r="718" spans="1:7" x14ac:dyDescent="0.3">
      <c r="A718" s="4">
        <v>44440</v>
      </c>
      <c r="B718" s="5" t="e">
        <f>Monthly!E718-Monthly!#REF!</f>
        <v>#REF!</v>
      </c>
      <c r="C718" s="7">
        <f>100*(LN(Monthly!H718)-LN(Monthly!H717))</f>
        <v>-0.48320013358882363</v>
      </c>
      <c r="D718" s="7">
        <v>-4.87377927828331</v>
      </c>
      <c r="E718" s="7" t="e">
        <f>100*(Monthly!#REF!-Monthly!#REF!)</f>
        <v>#REF!</v>
      </c>
      <c r="F718" s="7" t="e">
        <f>100*(Monthly!#REF!-Monthly!#REF!)</f>
        <v>#REF!</v>
      </c>
      <c r="G718" s="7">
        <v>0</v>
      </c>
    </row>
    <row r="719" spans="1:7" x14ac:dyDescent="0.3">
      <c r="A719" s="4">
        <v>44470</v>
      </c>
      <c r="B719" s="5" t="e">
        <f>Monthly!E719-Monthly!#REF!</f>
        <v>#REF!</v>
      </c>
      <c r="C719" s="7">
        <f>100*(LN(Monthly!H719)-LN(Monthly!H718))</f>
        <v>0.16838359343278597</v>
      </c>
      <c r="D719" s="7">
        <v>6.6858175283989301</v>
      </c>
      <c r="E719" s="7" t="e">
        <f>100*(Monthly!#REF!-Monthly!#REF!)</f>
        <v>#REF!</v>
      </c>
      <c r="F719" s="7" t="e">
        <f>100*(Monthly!#REF!-Monthly!#REF!)</f>
        <v>#REF!</v>
      </c>
      <c r="G719" s="7">
        <v>0</v>
      </c>
    </row>
    <row r="720" spans="1:7" x14ac:dyDescent="0.3">
      <c r="A720" s="4">
        <v>44501</v>
      </c>
      <c r="B720" s="5" t="e">
        <f>Monthly!E720-Monthly!#REF!</f>
        <v>#REF!</v>
      </c>
      <c r="C720" s="7">
        <f>100*(LN(Monthly!H720)-LN(Monthly!H719))</f>
        <v>0.5869986010002215</v>
      </c>
      <c r="D720" s="7">
        <v>-0.83686256552052596</v>
      </c>
      <c r="E720" s="7" t="e">
        <f>100*(Monthly!#REF!-Monthly!#REF!)</f>
        <v>#REF!</v>
      </c>
      <c r="F720" s="7" t="e">
        <f>100*(Monthly!#REF!-Monthly!#REF!)</f>
        <v>#REF!</v>
      </c>
      <c r="G720" s="7">
        <v>0</v>
      </c>
    </row>
    <row r="721" spans="1:7" x14ac:dyDescent="0.3">
      <c r="A721" s="4">
        <v>44531</v>
      </c>
      <c r="B721" s="5" t="e">
        <f>Monthly!E721-Monthly!#REF!</f>
        <v>#REF!</v>
      </c>
      <c r="C721" s="7">
        <f>100*(LN(Monthly!H721)-LN(Monthly!H720))</f>
        <v>1.5559764387483632</v>
      </c>
      <c r="D721" s="7">
        <v>4.2688648161396596</v>
      </c>
      <c r="E721" s="7" t="e">
        <f>100*(Monthly!#REF!-Monthly!#REF!)</f>
        <v>#REF!</v>
      </c>
      <c r="F721" s="7" t="e">
        <f>100*(Monthly!#REF!-Monthly!#REF!)</f>
        <v>#REF!</v>
      </c>
      <c r="G721" s="7">
        <v>1</v>
      </c>
    </row>
    <row r="722" spans="1:7" x14ac:dyDescent="0.3">
      <c r="A722" s="4">
        <v>44562</v>
      </c>
      <c r="B722" s="5" t="e">
        <f>Monthly!E722-Monthly!#REF!</f>
        <v>#REF!</v>
      </c>
      <c r="C722" s="7">
        <f>100*(LN(Monthly!H722)-LN(Monthly!H721))</f>
        <v>0.55649626589140411</v>
      </c>
      <c r="D722" s="7">
        <v>-5.4018229999283403</v>
      </c>
      <c r="E722" s="7" t="e">
        <f>100*(Monthly!#REF!-Monthly!#REF!)</f>
        <v>#REF!</v>
      </c>
      <c r="F722" s="7" t="e">
        <f>100*(Monthly!#REF!-Monthly!#REF!)</f>
        <v>#REF!</v>
      </c>
      <c r="G722" s="7">
        <v>1</v>
      </c>
    </row>
    <row r="723" spans="1:7" x14ac:dyDescent="0.3">
      <c r="A723" s="4">
        <v>44593</v>
      </c>
      <c r="B723" s="5" t="e">
        <f>Monthly!E723-Monthly!#REF!</f>
        <v>#REF!</v>
      </c>
      <c r="C723" s="7">
        <f>100*(LN(Monthly!H723)-LN(Monthly!H722))</f>
        <v>0.48280959391915346</v>
      </c>
      <c r="D723" s="7">
        <v>-3.1862761021711399</v>
      </c>
      <c r="E723" s="7" t="e">
        <f>100*(Monthly!#REF!-Monthly!#REF!)</f>
        <v>#REF!</v>
      </c>
      <c r="F723" s="7" t="e">
        <f>100*(Monthly!#REF!-Monthly!#REF!)</f>
        <v>#REF!</v>
      </c>
      <c r="G723" s="7">
        <v>1</v>
      </c>
    </row>
    <row r="724" spans="1:7" x14ac:dyDescent="0.3">
      <c r="A724" s="4">
        <v>44621</v>
      </c>
      <c r="B724" s="5" t="e">
        <f>Monthly!E724-Monthly!#REF!</f>
        <v>#REF!</v>
      </c>
      <c r="C724" s="7">
        <f>100*(LN(Monthly!H724)-LN(Monthly!H723))</f>
        <v>1.5840018291327418</v>
      </c>
      <c r="D724" s="7">
        <v>3.5148286271522702</v>
      </c>
      <c r="E724" s="7" t="e">
        <f>100*(Monthly!#REF!-Monthly!#REF!)</f>
        <v>#REF!</v>
      </c>
      <c r="F724" s="7" t="e">
        <f>100*(Monthly!#REF!-Monthly!#REF!)</f>
        <v>#REF!</v>
      </c>
      <c r="G724" s="7">
        <v>1</v>
      </c>
    </row>
    <row r="725" spans="1:7" x14ac:dyDescent="0.3">
      <c r="A725" s="4">
        <v>44652</v>
      </c>
      <c r="B725" s="5" t="e">
        <f>Monthly!E725-Monthly!#REF!</f>
        <v>#REF!</v>
      </c>
      <c r="C725" s="7">
        <f>100*(LN(Monthly!H725)-LN(Monthly!H724))</f>
        <v>1.0467594207365316</v>
      </c>
      <c r="D725" s="7">
        <v>-9.2067824907422295</v>
      </c>
      <c r="E725" s="7" t="e">
        <f>100*(Monthly!#REF!-Monthly!#REF!)</f>
        <v>#REF!</v>
      </c>
      <c r="F725" s="7" t="e">
        <f>100*(Monthly!#REF!-Monthly!#REF!)</f>
        <v>#REF!</v>
      </c>
      <c r="G725" s="7">
        <v>1</v>
      </c>
    </row>
    <row r="726" spans="1:7" x14ac:dyDescent="0.3">
      <c r="A726" s="4">
        <v>44682</v>
      </c>
      <c r="B726" s="5" t="e">
        <f>Monthly!E726-Monthly!#REF!</f>
        <v>#REF!</v>
      </c>
      <c r="C726" s="7">
        <f>100*(LN(Monthly!H726)-LN(Monthly!H725))</f>
        <v>1.724025668957907</v>
      </c>
      <c r="D726" s="7">
        <v>5.3176290760624601E-3</v>
      </c>
      <c r="E726" s="7" t="e">
        <f>100*(Monthly!#REF!-Monthly!#REF!)</f>
        <v>#REF!</v>
      </c>
      <c r="F726" s="7" t="e">
        <f>100*(Monthly!#REF!-Monthly!#REF!)</f>
        <v>#REF!</v>
      </c>
      <c r="G726" s="7">
        <v>1</v>
      </c>
    </row>
    <row r="727" spans="1:7" x14ac:dyDescent="0.3">
      <c r="A727" s="4">
        <v>44713</v>
      </c>
      <c r="B727" s="5" t="e">
        <f>Monthly!E727-Monthly!#REF!</f>
        <v>#REF!</v>
      </c>
      <c r="C727" s="7">
        <f>100*(LN(Monthly!H727)-LN(Monthly!H726))</f>
        <v>2.1840023731486191</v>
      </c>
      <c r="D727" s="7">
        <v>-8.7651581804817909</v>
      </c>
      <c r="E727" s="7" t="e">
        <f>100*(Monthly!#REF!-Monthly!#REF!)</f>
        <v>#REF!</v>
      </c>
      <c r="F727" s="7" t="e">
        <f>100*(Monthly!#REF!-Monthly!#REF!)</f>
        <v>#REF!</v>
      </c>
      <c r="G727" s="7">
        <v>1</v>
      </c>
    </row>
    <row r="728" spans="1:7" x14ac:dyDescent="0.3">
      <c r="A728" s="4">
        <v>44743</v>
      </c>
      <c r="B728" s="5" t="e">
        <f>Monthly!E728-Monthly!#REF!</f>
        <v>#REF!</v>
      </c>
      <c r="C728" s="7">
        <f>100*(LN(Monthly!H728)-LN(Monthly!H727))</f>
        <v>1.1686546508827611</v>
      </c>
      <c r="D728" s="7">
        <v>8.7201384689715802</v>
      </c>
      <c r="E728" s="7" t="e">
        <f>100*(Monthly!#REF!-Monthly!#REF!)</f>
        <v>#REF!</v>
      </c>
      <c r="F728" s="7" t="e">
        <f>100*(Monthly!#REF!-Monthly!#REF!)</f>
        <v>#REF!</v>
      </c>
      <c r="G728" s="7">
        <v>1</v>
      </c>
    </row>
    <row r="729" spans="1:7" x14ac:dyDescent="0.3">
      <c r="A729" s="4">
        <v>44774</v>
      </c>
      <c r="B729" s="5" t="e">
        <f>Monthly!E729-Monthly!#REF!</f>
        <v>#REF!</v>
      </c>
      <c r="C729" s="7">
        <f>100*(LN(Monthly!H729)-LN(Monthly!H728))</f>
        <v>0.91661901099966414</v>
      </c>
      <c r="D729" s="7">
        <v>-4.3367030663405401</v>
      </c>
      <c r="E729" s="7" t="e">
        <f>100*(Monthly!#REF!-Monthly!#REF!)</f>
        <v>#REF!</v>
      </c>
      <c r="F729" s="7" t="e">
        <f>100*(Monthly!#REF!-Monthly!#REF!)</f>
        <v>#REF!</v>
      </c>
      <c r="G729" s="7">
        <v>1</v>
      </c>
    </row>
    <row r="730" spans="1:7" x14ac:dyDescent="0.3">
      <c r="A730" s="4">
        <v>44805</v>
      </c>
      <c r="B730" s="5" t="e">
        <f>Monthly!E730-Monthly!#REF!</f>
        <v>#REF!</v>
      </c>
      <c r="C730" s="7">
        <f>100*(LN(Monthly!H730)-LN(Monthly!H729))</f>
        <v>0.86457988751513781</v>
      </c>
      <c r="D730" s="7">
        <v>-9.8049166620992505</v>
      </c>
      <c r="E730" s="7" t="e">
        <f>100*(Monthly!#REF!-Monthly!#REF!)</f>
        <v>#REF!</v>
      </c>
      <c r="F730" s="7" t="e">
        <f>100*(Monthly!#REF!-Monthly!#REF!)</f>
        <v>#REF!</v>
      </c>
      <c r="G730" s="7">
        <v>1</v>
      </c>
    </row>
    <row r="731" spans="1:7" x14ac:dyDescent="0.3">
      <c r="A731" s="4">
        <v>44835</v>
      </c>
      <c r="B731" s="5" t="e">
        <f>Monthly!E731-Monthly!#REF!</f>
        <v>#REF!</v>
      </c>
      <c r="C731" s="7">
        <f>100*(LN(Monthly!H731)-LN(Monthly!H730))</f>
        <v>0.85662408008353452</v>
      </c>
      <c r="D731" s="7">
        <v>7.6834564468855602</v>
      </c>
      <c r="E731" s="7" t="e">
        <f>100*(Monthly!#REF!-Monthly!#REF!)</f>
        <v>#REF!</v>
      </c>
      <c r="F731" s="7" t="e">
        <f>100*(Monthly!#REF!-Monthly!#REF!)</f>
        <v>#REF!</v>
      </c>
      <c r="G731" s="7">
        <v>1</v>
      </c>
    </row>
    <row r="732" spans="1:7" x14ac:dyDescent="0.3">
      <c r="A732" s="4">
        <v>44866</v>
      </c>
      <c r="B732" s="5" t="e">
        <f>Monthly!E732-Monthly!#REF!</f>
        <v>#REF!</v>
      </c>
      <c r="C732" s="7">
        <f>100*(LN(Monthly!H732)-LN(Monthly!H731))</f>
        <v>0.64881671788459272</v>
      </c>
      <c r="D732" s="7">
        <v>5.2357976097648997</v>
      </c>
      <c r="E732" s="7" t="e">
        <f>100*(Monthly!#REF!-Monthly!#REF!)</f>
        <v>#REF!</v>
      </c>
      <c r="F732" s="7" t="e">
        <f>100*(Monthly!#REF!-Monthly!#REF!)</f>
        <v>#REF!</v>
      </c>
      <c r="G732" s="7">
        <v>1</v>
      </c>
    </row>
    <row r="733" spans="1:7" x14ac:dyDescent="0.3">
      <c r="A733" s="4">
        <v>44896</v>
      </c>
      <c r="B733" s="5" t="e">
        <f>Monthly!E733-Monthly!#REF!</f>
        <v>#REF!</v>
      </c>
      <c r="C733" s="7">
        <f>100*(LN(Monthly!H733)-LN(Monthly!H732))</f>
        <v>0.30722489625176763</v>
      </c>
      <c r="D733" s="7">
        <v>-6.0781825376668097</v>
      </c>
      <c r="E733" s="7" t="e">
        <f>100*(Monthly!#REF!-Monthly!#REF!)</f>
        <v>#REF!</v>
      </c>
      <c r="F733" s="7" t="e">
        <f>100*(Monthly!#REF!-Monthly!#REF!)</f>
        <v>#REF!</v>
      </c>
      <c r="G733" s="7">
        <v>1</v>
      </c>
    </row>
    <row r="734" spans="1:7" x14ac:dyDescent="0.3">
      <c r="A734" s="4">
        <v>44927</v>
      </c>
      <c r="B734" s="5" t="e">
        <f>Monthly!E734-Monthly!#REF!</f>
        <v>#REF!</v>
      </c>
      <c r="C734" s="7">
        <f>100*(LN(Monthly!H734)-LN(Monthly!H733))</f>
        <v>0.4931649888262335</v>
      </c>
      <c r="D734" s="7">
        <v>5.9921181834349602</v>
      </c>
      <c r="E734" s="7" t="e">
        <f>100*(Monthly!#REF!-Monthly!#REF!)</f>
        <v>#REF!</v>
      </c>
      <c r="F734" s="7" t="e">
        <f>100*(Monthly!#REF!-Monthly!#REF!)</f>
        <v>#REF!</v>
      </c>
      <c r="G734" s="7">
        <v>1</v>
      </c>
    </row>
    <row r="735" spans="1:7" x14ac:dyDescent="0.3">
      <c r="A735" s="4">
        <v>44958</v>
      </c>
      <c r="B735" s="5" t="e">
        <f>Monthly!E735-Monthly!#REF!</f>
        <v>#REF!</v>
      </c>
      <c r="C735" s="7">
        <f>100*(LN(Monthly!H735)-LN(Monthly!H734))</f>
        <v>-0.18271240900640251</v>
      </c>
      <c r="D735" s="7">
        <v>-2.64594788597931</v>
      </c>
      <c r="E735" s="7" t="e">
        <f>100*(Monthly!#REF!-Monthly!#REF!)</f>
        <v>#REF!</v>
      </c>
      <c r="F735" s="7" t="e">
        <f>100*(Monthly!#REF!-Monthly!#REF!)</f>
        <v>#REF!</v>
      </c>
      <c r="G735" s="7">
        <v>0</v>
      </c>
    </row>
    <row r="736" spans="1:7" x14ac:dyDescent="0.3">
      <c r="A736" s="4">
        <v>44986</v>
      </c>
      <c r="B736" s="5" t="e">
        <f>Monthly!E736-Monthly!#REF!</f>
        <v>#REF!</v>
      </c>
      <c r="C736" s="7">
        <f>100*(LN(Monthly!H736)-LN(Monthly!H735))</f>
        <v>-0.31914841552254103</v>
      </c>
      <c r="D736" s="7">
        <v>3.4451292698263498</v>
      </c>
      <c r="E736" s="7" t="e">
        <f>100*(Monthly!#REF!-Monthly!#REF!)</f>
        <v>#REF!</v>
      </c>
      <c r="F736" s="7" t="e">
        <f>100*(Monthly!#REF!-Monthly!#REF!)</f>
        <v>#REF!</v>
      </c>
      <c r="G736" s="7">
        <v>1</v>
      </c>
    </row>
    <row r="737" spans="1:7" x14ac:dyDescent="0.3">
      <c r="A737" s="4">
        <v>45017</v>
      </c>
      <c r="B737" s="5" t="e">
        <f>Monthly!E737-Monthly!#REF!</f>
        <v>#REF!</v>
      </c>
      <c r="C737" s="7">
        <f>100*(LN(Monthly!H737)-LN(Monthly!H736))</f>
        <v>-0.95511113673403258</v>
      </c>
      <c r="D737" s="7">
        <v>1.4536177649562201</v>
      </c>
      <c r="E737" s="7" t="e">
        <f>100*(Monthly!#REF!-Monthly!#REF!)</f>
        <v>#REF!</v>
      </c>
      <c r="F737" s="7" t="e">
        <f>100*(Monthly!#REF!-Monthly!#REF!)</f>
        <v>#REF!</v>
      </c>
      <c r="G737" s="7">
        <v>0</v>
      </c>
    </row>
    <row r="738" spans="1:7" x14ac:dyDescent="0.3">
      <c r="A738" s="4">
        <v>45047</v>
      </c>
      <c r="B738" s="5" t="e">
        <f>Monthly!E738-Monthly!#REF!</f>
        <v>#REF!</v>
      </c>
      <c r="C738" s="7">
        <f>100*(LN(Monthly!H738)-LN(Monthly!H737))</f>
        <v>-0.16745184039423933</v>
      </c>
      <c r="D738" s="7">
        <v>0.247927143327247</v>
      </c>
      <c r="E738" s="7" t="e">
        <f>100*(Monthly!#REF!-Monthly!#REF!)</f>
        <v>#REF!</v>
      </c>
      <c r="F738" s="7" t="e">
        <f>100*(Monthly!#REF!-Monthly!#REF!)</f>
        <v>#REF!</v>
      </c>
      <c r="G738" s="7">
        <v>0</v>
      </c>
    </row>
    <row r="739" spans="1:7" x14ac:dyDescent="0.3">
      <c r="A739" s="4">
        <v>45078</v>
      </c>
      <c r="B739" s="5" t="e">
        <f>Monthly!E739-Monthly!#REF!</f>
        <v>#REF!</v>
      </c>
      <c r="C739" s="7">
        <f>100*(LN(Monthly!H739)-LN(Monthly!H738))</f>
        <v>-0.3814732801363796</v>
      </c>
      <c r="D739" s="7">
        <v>6.2718864914641701</v>
      </c>
      <c r="E739" s="7" t="e">
        <f>100*(Monthly!#REF!-Monthly!#REF!)</f>
        <v>#REF!</v>
      </c>
      <c r="F739" s="7" t="e">
        <f>100*(Monthly!#REF!-Monthly!#REF!)</f>
        <v>#REF!</v>
      </c>
      <c r="G739" s="7">
        <v>0</v>
      </c>
    </row>
    <row r="740" spans="1:7" x14ac:dyDescent="0.3">
      <c r="A740" s="4">
        <v>45108</v>
      </c>
      <c r="B740" s="5" t="e">
        <f>Monthly!E740-Monthly!#REF!</f>
        <v>#REF!</v>
      </c>
      <c r="C740" s="7">
        <f>100*(LN(Monthly!H740)-LN(Monthly!H739))</f>
        <v>-3.8490650215994293E-2</v>
      </c>
      <c r="D740" s="7">
        <v>3.0663950907703899</v>
      </c>
      <c r="E740" s="7" t="e">
        <f>100*(Monthly!#REF!-Monthly!#REF!)</f>
        <v>#REF!</v>
      </c>
      <c r="F740" s="7" t="e">
        <f>100*(Monthly!#REF!-Monthly!#REF!)</f>
        <v>#REF!</v>
      </c>
      <c r="G740" s="7">
        <v>0</v>
      </c>
    </row>
    <row r="741" spans="1:7" x14ac:dyDescent="0.3">
      <c r="A741" s="4">
        <v>45139</v>
      </c>
      <c r="B741" s="5" t="e">
        <f>Monthly!E741-Monthly!#REF!</f>
        <v>#REF!</v>
      </c>
      <c r="C741" s="7">
        <f>100*(LN(Monthly!H741)-LN(Monthly!H740))</f>
        <v>0.10686700647184466</v>
      </c>
      <c r="D741" s="7">
        <v>-1.7875203842993801</v>
      </c>
      <c r="E741" s="7" t="e">
        <f>100*(Monthly!#REF!-Monthly!#REF!)</f>
        <v>#REF!</v>
      </c>
      <c r="F741" s="7" t="e">
        <f>100*(Monthly!#REF!-Monthly!#REF!)</f>
        <v>#REF!</v>
      </c>
      <c r="G741" s="7">
        <v>0</v>
      </c>
    </row>
    <row r="742" spans="1:7" x14ac:dyDescent="0.3">
      <c r="A742" s="4">
        <v>45170</v>
      </c>
      <c r="B742" s="5" t="e">
        <f>Monthly!E742-Monthly!#REF!</f>
        <v>#REF!</v>
      </c>
      <c r="C742" s="7">
        <f>100*(LN(Monthly!H742)-LN(Monthly!H741))</f>
        <v>0.10422467067696672</v>
      </c>
      <c r="D742" s="7">
        <v>-4.9946167923282001</v>
      </c>
      <c r="E742" s="7" t="e">
        <f>100*(Monthly!#REF!-Monthly!#REF!)</f>
        <v>#REF!</v>
      </c>
      <c r="F742" s="7" t="e">
        <f>100*(Monthly!#REF!-Monthly!#REF!)</f>
        <v>#REF!</v>
      </c>
      <c r="G742" s="7">
        <v>0</v>
      </c>
    </row>
    <row r="743" spans="1:7" x14ac:dyDescent="0.3">
      <c r="A743" s="4">
        <v>45200</v>
      </c>
      <c r="B743" s="5" t="e">
        <f>Monthly!E743-Monthly!#REF!</f>
        <v>#REF!</v>
      </c>
      <c r="C743" s="7">
        <f>100*(LN(Monthly!H743)-LN(Monthly!H742))</f>
        <v>0.38030066746461699</v>
      </c>
      <c r="D743" s="7">
        <v>-2.2224841001403299</v>
      </c>
      <c r="E743" s="7" t="e">
        <f>100*(Monthly!#REF!-Monthly!#REF!)</f>
        <v>#REF!</v>
      </c>
      <c r="F743" s="7" t="e">
        <f>100*(Monthly!#REF!-Monthly!#REF!)</f>
        <v>#REF!</v>
      </c>
      <c r="G743" s="7">
        <v>0</v>
      </c>
    </row>
    <row r="744" spans="1:7" x14ac:dyDescent="0.3">
      <c r="A744" s="4">
        <v>45231</v>
      </c>
      <c r="B744" s="5" t="e">
        <f>Monthly!E744-Monthly!#REF!</f>
        <v>#REF!</v>
      </c>
      <c r="C744" s="7">
        <f>100*(LN(Monthly!H744)-LN(Monthly!H743))</f>
        <v>-0.30688785055561496</v>
      </c>
      <c r="D744" s="7">
        <v>8.5424448200752892</v>
      </c>
      <c r="E744" s="7" t="e">
        <f>100*(Monthly!#REF!-Monthly!#REF!)</f>
        <v>#REF!</v>
      </c>
      <c r="F744" s="7" t="e">
        <f>100*(Monthly!#REF!-Monthly!#REF!)</f>
        <v>#REF!</v>
      </c>
      <c r="G744" s="7">
        <v>0</v>
      </c>
    </row>
    <row r="745" spans="1:7" x14ac:dyDescent="0.3">
      <c r="A745" s="4">
        <v>45261</v>
      </c>
      <c r="B745" s="5" t="e">
        <f>Monthly!E745-Monthly!#REF!</f>
        <v>#REF!</v>
      </c>
      <c r="C745" s="7">
        <f>100*(LN(Monthly!H745)-LN(Monthly!H744))</f>
        <v>-8.0266222954872291E-2</v>
      </c>
      <c r="D745" s="7">
        <v>4.3279035431608301</v>
      </c>
      <c r="E745" s="7" t="e">
        <f>100*(Monthly!#REF!-Monthly!#REF!)</f>
        <v>#REF!</v>
      </c>
      <c r="F745" s="7" t="e">
        <f>100*(Monthly!#REF!-Monthly!#REF!)</f>
        <v>#REF!</v>
      </c>
      <c r="G745" s="7">
        <v>0</v>
      </c>
    </row>
    <row r="746" spans="1:7" x14ac:dyDescent="0.3">
      <c r="A746" s="4">
        <v>45292</v>
      </c>
      <c r="B746" s="5" t="e">
        <f>Monthly!E746-Monthly!#REF!</f>
        <v>#REF!</v>
      </c>
      <c r="C746" s="7">
        <f>100*(LN(Monthly!H746)-LN(Monthly!H745))</f>
        <v>-6.2843576519355793E-2</v>
      </c>
      <c r="D746" s="7">
        <v>1.57706938864257</v>
      </c>
      <c r="E746" s="7" t="e">
        <f>100*(Monthly!#REF!-Monthly!#REF!)</f>
        <v>#REF!</v>
      </c>
      <c r="F746" s="7" t="e">
        <f>100*(Monthly!#REF!-Monthly!#REF!)</f>
        <v>#REF!</v>
      </c>
      <c r="G746" s="7">
        <v>0</v>
      </c>
    </row>
    <row r="747" spans="1:7" x14ac:dyDescent="0.3">
      <c r="A747" s="4">
        <v>45323</v>
      </c>
      <c r="B747" s="5" t="e">
        <f>Monthly!E747-Monthly!#REF!</f>
        <v>#REF!</v>
      </c>
      <c r="C747" s="7">
        <f>100*(LN(Monthly!H747)-LN(Monthly!H746))</f>
        <v>0.26288414493240708</v>
      </c>
      <c r="D747" s="7">
        <v>5.0427528312771903</v>
      </c>
      <c r="E747" s="7" t="e">
        <f>100*(Monthly!#REF!-Monthly!#REF!)</f>
        <v>#REF!</v>
      </c>
      <c r="F747" s="7" t="e">
        <f>100*(Monthly!#REF!-Monthly!#REF!)</f>
        <v>#REF!</v>
      </c>
      <c r="G747" s="7">
        <v>0</v>
      </c>
    </row>
    <row r="748" spans="1:7" x14ac:dyDescent="0.3">
      <c r="A748" s="4">
        <v>45352</v>
      </c>
      <c r="B748" s="5" t="e">
        <f>Monthly!E748-Monthly!#REF!</f>
        <v>#REF!</v>
      </c>
      <c r="C748" s="7">
        <f>100*(LN(Monthly!H748)-LN(Monthly!H747))</f>
        <v>-0.53415161508549858</v>
      </c>
      <c r="D748" s="7">
        <v>3.0547420111743002</v>
      </c>
      <c r="E748" s="7" t="e">
        <f>100*(Monthly!#REF!-Monthly!#REF!)</f>
        <v>#REF!</v>
      </c>
      <c r="F748" s="7" t="e">
        <f>100*(Monthly!#REF!-Monthly!#REF!)</f>
        <v>#REF!</v>
      </c>
      <c r="G748" s="7">
        <v>0</v>
      </c>
    </row>
    <row r="749" spans="1:7" x14ac:dyDescent="0.3">
      <c r="A749" s="4">
        <v>45383</v>
      </c>
      <c r="B749" s="5" t="e">
        <f>Monthly!E749-Monthly!#REF!</f>
        <v>#REF!</v>
      </c>
      <c r="C749" s="7">
        <f>100*(LN(Monthly!H749)-LN(Monthly!H748))</f>
        <v>-7.5183583023097356E-2</v>
      </c>
      <c r="D749" s="7">
        <v>-4.25057776814785</v>
      </c>
      <c r="E749" s="7" t="e">
        <f>100*(Monthly!#REF!-Monthly!#REF!)</f>
        <v>#REF!</v>
      </c>
      <c r="F749" s="7" t="e">
        <f>100*(Monthly!#REF!-Monthly!#REF!)</f>
        <v>#REF!</v>
      </c>
      <c r="G749" s="7">
        <v>0</v>
      </c>
    </row>
    <row r="750" spans="1:7" x14ac:dyDescent="0.3">
      <c r="A750" s="4">
        <v>45413</v>
      </c>
      <c r="B750" s="5" t="e">
        <f>Monthly!E750-Monthly!#REF!</f>
        <v>#REF!</v>
      </c>
      <c r="C750" s="7">
        <f>100*(LN(Monthly!H750)-LN(Monthly!H749))</f>
        <v>0.33943699538854233</v>
      </c>
      <c r="D750" s="7">
        <v>4.6903805304359603</v>
      </c>
      <c r="E750" s="7" t="e">
        <f>100*(Monthly!#REF!-Monthly!#REF!)</f>
        <v>#REF!</v>
      </c>
      <c r="F750" s="7" t="e">
        <f>100*(Monthly!#REF!-Monthly!#REF!)</f>
        <v>#REF!</v>
      </c>
      <c r="G750" s="7">
        <v>0</v>
      </c>
    </row>
    <row r="751" spans="1:7" x14ac:dyDescent="0.3">
      <c r="A751" s="4">
        <v>45444</v>
      </c>
      <c r="B751" s="5" t="e">
        <f>Monthly!E751-Monthly!#REF!</f>
        <v>#REF!</v>
      </c>
      <c r="C751" s="7">
        <f>100*(LN(Monthly!H751)-LN(Monthly!H750))</f>
        <v>0.24783224747970678</v>
      </c>
      <c r="D751" s="7">
        <v>3.40823432388822</v>
      </c>
      <c r="E751" s="7" t="e">
        <f>100*(Monthly!#REF!-Monthly!#REF!)</f>
        <v>#REF!</v>
      </c>
      <c r="F751" s="7" t="e">
        <f>100*(Monthly!#REF!-Monthly!#REF!)</f>
        <v>#REF!</v>
      </c>
      <c r="G751" s="7">
        <v>0</v>
      </c>
    </row>
    <row r="752" spans="1:7" x14ac:dyDescent="0.3">
      <c r="A752" s="4">
        <v>45474</v>
      </c>
      <c r="B752" s="5" t="e">
        <f>Monthly!E752-Monthly!#REF!</f>
        <v>#REF!</v>
      </c>
      <c r="C752" s="7">
        <f>100*(LN(Monthly!H752)-LN(Monthly!H751))</f>
        <v>-0.18406410637359372</v>
      </c>
      <c r="D752" s="7">
        <v>1.12577104024098</v>
      </c>
      <c r="E752" s="7" t="e">
        <f>100*(Monthly!#REF!-Monthly!#REF!)</f>
        <v>#REF!</v>
      </c>
      <c r="F752" s="7" t="e">
        <f>100*(Monthly!#REF!-Monthly!#REF!)</f>
        <v>#REF!</v>
      </c>
      <c r="G752" s="7">
        <v>0</v>
      </c>
    </row>
    <row r="753" spans="1:7" x14ac:dyDescent="0.3">
      <c r="A753" s="4">
        <v>45505</v>
      </c>
      <c r="B753" s="5" t="e">
        <f>Monthly!E753-Monthly!#REF!</f>
        <v>#REF!</v>
      </c>
      <c r="C753" s="7">
        <f>100*(LN(Monthly!H753)-LN(Monthly!H752))</f>
        <v>0.22090426263243756</v>
      </c>
      <c r="D753" s="7">
        <v>2.25778971175147</v>
      </c>
      <c r="E753" s="7" t="e">
        <f>100*(Monthly!#REF!-Monthly!#REF!)</f>
        <v>#REF!</v>
      </c>
      <c r="F753" s="7" t="e">
        <f>100*(Monthly!#REF!-Monthly!#REF!)</f>
        <v>#REF!</v>
      </c>
      <c r="G753" s="7">
        <v>1</v>
      </c>
    </row>
    <row r="754" spans="1:7" x14ac:dyDescent="0.3">
      <c r="A754" s="4">
        <v>45536</v>
      </c>
      <c r="B754" s="5" t="e">
        <f>Monthly!E754-Monthly!#REF!</f>
        <v>#REF!</v>
      </c>
      <c r="C754" s="7">
        <f>100*(LN(Monthly!H754)-LN(Monthly!H753))</f>
        <v>0.41069521675050069</v>
      </c>
      <c r="D754" s="7">
        <v>1.9995632287754499</v>
      </c>
      <c r="E754" s="7" t="e">
        <f>100*(Monthly!#REF!-Monthly!#REF!)</f>
        <v>#REF!</v>
      </c>
      <c r="F754" s="7" t="e">
        <f>100*(Monthly!#REF!-Monthly!#REF!)</f>
        <v>#REF!</v>
      </c>
      <c r="G754" s="7">
        <v>0</v>
      </c>
    </row>
    <row r="755" spans="1:7" x14ac:dyDescent="0.3">
      <c r="A755" s="4">
        <v>45566</v>
      </c>
      <c r="B755" s="5" t="e">
        <f>Monthly!E755-Monthly!#REF!</f>
        <v>#REF!</v>
      </c>
      <c r="C755" s="7">
        <f>100*(LN(Monthly!H755)-LN(Monthly!H754))</f>
        <v>0.2450145503292589</v>
      </c>
      <c r="D755" s="7">
        <v>-0.99460415985501704</v>
      </c>
      <c r="E755" s="7" t="e">
        <f>100*(Monthly!#REF!-Monthly!#REF!)</f>
        <v>#REF!</v>
      </c>
      <c r="F755" s="7" t="e">
        <f>100*(Monthly!#REF!-Monthly!#REF!)</f>
        <v>#REF!</v>
      </c>
      <c r="G755" s="7">
        <v>0</v>
      </c>
    </row>
    <row r="756" spans="1:7" x14ac:dyDescent="0.3">
      <c r="A756" s="4">
        <v>45597</v>
      </c>
      <c r="B756" s="5" t="e">
        <f>Monthly!E756-Monthly!#REF!</f>
        <v>#REF!</v>
      </c>
      <c r="C756" s="7">
        <f>100*(LN(Monthly!H756)-LN(Monthly!H755))</f>
        <v>0.10568932105678996</v>
      </c>
      <c r="D756" s="7">
        <v>5.5719714029497203</v>
      </c>
      <c r="E756" s="7" t="e">
        <f>100*(Monthly!#REF!-Monthly!#REF!)</f>
        <v>#REF!</v>
      </c>
      <c r="F756" s="7" t="e">
        <f>100*(Monthly!#REF!-Monthly!#REF!)</f>
        <v>#REF!</v>
      </c>
      <c r="G756" s="7">
        <v>0</v>
      </c>
    </row>
    <row r="757" spans="1:7" x14ac:dyDescent="0.3">
      <c r="A757" s="4">
        <v>45627</v>
      </c>
      <c r="B757" s="5" t="e">
        <f>Monthly!E757-Monthly!#REF!</f>
        <v>#REF!</v>
      </c>
      <c r="C757" s="7">
        <f>100*(LN(Monthly!H757)-LN(Monthly!H756))</f>
        <v>-0.79289133746600626</v>
      </c>
      <c r="D757" s="7">
        <v>-2.5307692187745601</v>
      </c>
      <c r="E757" s="7" t="e">
        <f>100*(Monthly!#REF!-Monthly!#REF!)</f>
        <v>#REF!</v>
      </c>
      <c r="F757" s="7" t="e">
        <f>100*(Monthly!#REF!-Monthly!#REF!)</f>
        <v>#REF!</v>
      </c>
      <c r="G757" s="7">
        <v>0</v>
      </c>
    </row>
    <row r="758" spans="1:7" x14ac:dyDescent="0.3">
      <c r="A758" s="4">
        <v>45658</v>
      </c>
      <c r="B758" s="5" t="e">
        <f>Monthly!E758-Monthly!#REF!</f>
        <v>#REF!</v>
      </c>
      <c r="C758" s="7">
        <f>100*(LN(Monthly!H758)-LN(Monthly!H757))</f>
        <v>-3.7339846010111089</v>
      </c>
      <c r="D758" s="7">
        <v>2.6657806419669101</v>
      </c>
      <c r="E758" s="7" t="e">
        <f>100*(Monthly!#REF!-Monthly!#REF!)</f>
        <v>#REF!</v>
      </c>
      <c r="F758" s="7" t="e">
        <f>100*(Monthly!#REF!-Monthly!#REF!)</f>
        <v>#REF!</v>
      </c>
      <c r="G758" s="7">
        <v>0</v>
      </c>
    </row>
    <row r="759" spans="1:7" x14ac:dyDescent="0.3">
      <c r="A759" s="4">
        <v>45689</v>
      </c>
      <c r="B759" s="5" t="e">
        <f>Monthly!E759-Monthly!#REF!</f>
        <v>#REF!</v>
      </c>
      <c r="C759" s="7">
        <f>100*(LN(Monthly!H759)-LN(Monthly!H758))</f>
        <v>0.26361123084219784</v>
      </c>
      <c r="D759" s="7">
        <v>-1.43444846484832</v>
      </c>
      <c r="E759" s="7" t="e">
        <f>100*(Monthly!#REF!-Monthly!#REF!)</f>
        <v>#REF!</v>
      </c>
      <c r="F759" s="7" t="e">
        <f>100*(Monthly!#REF!-Monthly!#REF!)</f>
        <v>#REF!</v>
      </c>
      <c r="G759" s="7">
        <v>0</v>
      </c>
    </row>
    <row r="760" spans="1:7" x14ac:dyDescent="0.3">
      <c r="A760" s="4">
        <v>45717</v>
      </c>
      <c r="B760" s="5" t="e">
        <f>Monthly!E760-Monthly!#REF!</f>
        <v>#REF!</v>
      </c>
      <c r="C760" s="7">
        <f>100*(LN(Monthly!H760)-LN(Monthly!H759))</f>
        <v>0.14893575244165902</v>
      </c>
      <c r="D760" s="7">
        <v>-5.9266785380176596</v>
      </c>
      <c r="E760" s="7" t="e">
        <f>100*(Monthly!#REF!-Monthly!#REF!)</f>
        <v>#REF!</v>
      </c>
      <c r="F760" s="7" t="e">
        <f>100*(Monthly!#REF!-Monthly!#REF!)</f>
        <v>#REF!</v>
      </c>
      <c r="G760" s="7">
        <v>1</v>
      </c>
    </row>
    <row r="761" spans="1:7" x14ac:dyDescent="0.3">
      <c r="A761" s="4">
        <v>45748</v>
      </c>
      <c r="B761" s="5" t="e">
        <f>Monthly!E761-Monthly!#REF!</f>
        <v>#REF!</v>
      </c>
      <c r="C761" s="7">
        <f>100*(LN(Monthly!H761)-LN(Monthly!H760))</f>
        <v>-0.23615571917412481</v>
      </c>
      <c r="D761" s="7">
        <v>-0.76541618478473095</v>
      </c>
      <c r="E761" s="7" t="e">
        <f>100*(Monthly!#REF!-Monthly!#REF!)</f>
        <v>#REF!</v>
      </c>
      <c r="F761" s="7" t="e">
        <f>100*(Monthly!#REF!-Monthly!#REF!)</f>
        <v>#REF!</v>
      </c>
      <c r="G761" s="7">
        <v>1</v>
      </c>
    </row>
    <row r="762" spans="1:7" x14ac:dyDescent="0.3">
      <c r="A762" s="4">
        <v>45778</v>
      </c>
      <c r="B762" s="5" t="e">
        <f>Monthly!E762-Monthly!#REF!</f>
        <v>#REF!</v>
      </c>
      <c r="C762" s="7">
        <f>100*(LN(Monthly!H762)-LN(Monthly!H761))</f>
        <v>0.39514463001646405</v>
      </c>
      <c r="D762" s="7">
        <v>5.9705447637753402</v>
      </c>
      <c r="E762" s="7" t="e">
        <f>100*(Monthly!#REF!-Monthly!#REF!)</f>
        <v>#REF!</v>
      </c>
      <c r="F762" s="7" t="e">
        <f>100*(Monthly!#REF!-Monthly!#REF!)</f>
        <v>#REF!</v>
      </c>
      <c r="G762" s="7">
        <v>1</v>
      </c>
    </row>
    <row r="763" spans="1:7" x14ac:dyDescent="0.3">
      <c r="A763" s="4">
        <v>45809</v>
      </c>
      <c r="B763" s="5" t="e">
        <f>Monthly!E763-Monthly!#REF!</f>
        <v>#REF!</v>
      </c>
      <c r="C763" s="7">
        <f>100*(LN(Monthly!H763)-LN(Monthly!H762))</f>
        <v>0.21444041404619085</v>
      </c>
      <c r="D763" s="7">
        <v>4.8415655447618899</v>
      </c>
      <c r="E763" s="7" t="e">
        <f>100*(Monthly!#REF!-Monthly!#REF!)</f>
        <v>#REF!</v>
      </c>
      <c r="F763" s="7" t="e">
        <f>100*(Monthly!#REF!-Monthly!#REF!)</f>
        <v>#REF!</v>
      </c>
      <c r="G763" s="7">
        <v>0</v>
      </c>
    </row>
    <row r="764" spans="1:7" x14ac:dyDescent="0.3">
      <c r="A764" s="4">
        <v>45839</v>
      </c>
      <c r="B764" s="5" t="e">
        <f>Monthly!E764-Monthly!#REF!</f>
        <v>#REF!</v>
      </c>
      <c r="C764" s="7">
        <f>100*(LN(Monthly!H764)-LN(Monthly!H763))</f>
        <v>-0.40979832890881696</v>
      </c>
      <c r="D764" s="7">
        <v>2.1435178792465002</v>
      </c>
      <c r="E764" s="7" t="e">
        <f>100*(Monthly!#REF!-Monthly!#REF!)</f>
        <v>#REF!</v>
      </c>
      <c r="F764" s="7" t="e">
        <f>100*(Monthly!#REF!-Monthly!#REF!)</f>
        <v>#REF!</v>
      </c>
      <c r="G764" s="7">
        <v>0</v>
      </c>
    </row>
    <row r="765" spans="1:7" x14ac:dyDescent="0.3">
      <c r="A765" s="4">
        <v>45870</v>
      </c>
      <c r="B765" s="5" t="e">
        <f>Monthly!E765-Monthly!#REF!</f>
        <v>#REF!</v>
      </c>
      <c r="C765" s="7">
        <f>100*(LN(Monthly!H765)-LN(Monthly!H764))</f>
        <v>0.40443193281438639</v>
      </c>
      <c r="D765" s="7">
        <v>1.88869575073857</v>
      </c>
      <c r="E765" s="7" t="e">
        <f>100*(Monthly!#REF!-Monthly!#REF!)</f>
        <v>#REF!</v>
      </c>
      <c r="F765" s="7" t="e">
        <f>100*(Monthly!#REF!-Monthly!#REF!)</f>
        <v>#REF!</v>
      </c>
      <c r="G765" s="7">
        <v>0</v>
      </c>
    </row>
    <row r="766" spans="1:7" x14ac:dyDescent="0.3">
      <c r="A766" s="4">
        <v>45901</v>
      </c>
      <c r="B766" s="5" t="e">
        <f>Monthly!E766-Monthly!#REF!</f>
        <v>#REF!</v>
      </c>
      <c r="C766" s="7">
        <f>100*(LN(Monthly!H766)-LN(Monthly!H765))</f>
        <v>0.31908070629995677</v>
      </c>
      <c r="D766" s="7">
        <v>3.47141190980815</v>
      </c>
      <c r="E766" s="7" t="e">
        <f>100*(Monthly!#REF!-Monthly!#REF!)</f>
        <v>#REF!</v>
      </c>
      <c r="F766" s="7" t="e">
        <f>100*(Monthly!#REF!-Monthly!#REF!)</f>
        <v>#REF!</v>
      </c>
      <c r="G766" s="7">
        <v>0</v>
      </c>
    </row>
    <row r="767" spans="1:7" x14ac:dyDescent="0.3">
      <c r="A767" s="4">
        <v>45931</v>
      </c>
      <c r="B767" s="5" t="e">
        <f>Monthly!E767-Monthly!#REF!</f>
        <v>#REF!</v>
      </c>
      <c r="C767" s="7">
        <f>100*(LN(Monthly!H767)-LN(Monthly!H766))</f>
        <v>-5.2933036305002901E-2</v>
      </c>
      <c r="D767" s="7">
        <v>2.2433352045496702</v>
      </c>
      <c r="E767" s="7" t="e">
        <f>100*(Monthly!#REF!-Monthly!#REF!)</f>
        <v>#REF!</v>
      </c>
      <c r="F767" s="7" t="e">
        <f>100*(Monthly!#REF!-Monthly!#REF!)</f>
        <v>#REF!</v>
      </c>
      <c r="G767" s="7">
        <v>0</v>
      </c>
    </row>
    <row r="768" spans="1:7" x14ac:dyDescent="0.3">
      <c r="A768" s="4">
        <v>45962</v>
      </c>
      <c r="B768" s="5" t="e">
        <f>Monthly!E768-Monthly!#REF!</f>
        <v>#REF!</v>
      </c>
      <c r="C768" s="7">
        <f>100*(LN(Monthly!H768)-LN(Monthly!H767))</f>
        <v>0.23029477760978523</v>
      </c>
      <c r="D768" s="7">
        <v>0.12987743939579899</v>
      </c>
      <c r="E768" s="7" t="e">
        <f>100*(Monthly!#REF!-Monthly!#REF!)</f>
        <v>#REF!</v>
      </c>
      <c r="F768" s="7" t="e">
        <f>100*(Monthly!#REF!-Monthly!#REF!)</f>
        <v>#REF!</v>
      </c>
      <c r="G768" s="7">
        <v>0</v>
      </c>
    </row>
    <row r="769" spans="1:7" x14ac:dyDescent="0.3">
      <c r="A769" s="4">
        <v>45992</v>
      </c>
      <c r="B769" s="5" t="e">
        <f>Monthly!E769-Monthly!#REF!</f>
        <v>#REF!</v>
      </c>
      <c r="C769" s="7">
        <f>100*(LN(Monthly!H769)-LN(Monthly!H768))</f>
        <v>0.39834657092248094</v>
      </c>
      <c r="D769" s="7">
        <v>-5.2427182897547803E-2</v>
      </c>
      <c r="E769" s="7" t="e">
        <f>100*(Monthly!#REF!-Monthly!#REF!)</f>
        <v>#REF!</v>
      </c>
      <c r="F769" s="7" t="e">
        <f>100*(Monthly!#REF!-Monthly!#REF!)</f>
        <v>#REF!</v>
      </c>
      <c r="G769" s="7">
        <v>0</v>
      </c>
    </row>
    <row r="770" spans="1:7" x14ac:dyDescent="0.3">
      <c r="A770" s="4">
        <v>46023</v>
      </c>
      <c r="B770" s="5" t="e">
        <f>Monthly!E770-Monthly!#REF!</f>
        <v>#REF!</v>
      </c>
      <c r="C770" s="7">
        <f>100*(LN(Monthly!H770)-LN(Monthly!H769))</f>
        <v>1.2382516018641709</v>
      </c>
      <c r="D770" s="7">
        <v>1.3570462244289001</v>
      </c>
      <c r="E770" s="7" t="e">
        <f>100*(Monthly!#REF!-Monthly!#REF!)</f>
        <v>#REF!</v>
      </c>
      <c r="F770" s="7" t="e">
        <f>100*(Monthly!#REF!-Monthly!#REF!)</f>
        <v>#REF!</v>
      </c>
      <c r="G770" s="7">
        <v>0</v>
      </c>
    </row>
    <row r="771" spans="1:7" x14ac:dyDescent="0.3">
      <c r="D771"/>
    </row>
    <row r="831" spans="4:4" x14ac:dyDescent="0.3">
      <c r="D831"/>
    </row>
    <row r="832" spans="4:4" x14ac:dyDescent="0.3">
      <c r="D832"/>
    </row>
    <row r="833" spans="4:4" x14ac:dyDescent="0.3">
      <c r="D833"/>
    </row>
    <row r="834" spans="4:4" x14ac:dyDescent="0.3">
      <c r="D834"/>
    </row>
    <row r="835" spans="4:4" x14ac:dyDescent="0.3">
      <c r="D835"/>
    </row>
    <row r="836" spans="4:4" x14ac:dyDescent="0.3">
      <c r="D836"/>
    </row>
    <row r="837" spans="4:4" x14ac:dyDescent="0.3">
      <c r="D837"/>
    </row>
    <row r="838" spans="4:4" x14ac:dyDescent="0.3">
      <c r="D838"/>
    </row>
    <row r="839" spans="4:4" x14ac:dyDescent="0.3">
      <c r="D839"/>
    </row>
    <row r="840" spans="4:4" x14ac:dyDescent="0.3">
      <c r="D840"/>
    </row>
    <row r="841" spans="4:4" x14ac:dyDescent="0.3">
      <c r="D841"/>
    </row>
    <row r="842" spans="4:4" x14ac:dyDescent="0.3">
      <c r="D842"/>
    </row>
    <row r="843" spans="4:4" x14ac:dyDescent="0.3">
      <c r="D843"/>
    </row>
    <row r="844" spans="4:4" x14ac:dyDescent="0.3">
      <c r="D844"/>
    </row>
    <row r="845" spans="4:4" x14ac:dyDescent="0.3">
      <c r="D845"/>
    </row>
    <row r="846" spans="4:4" x14ac:dyDescent="0.3">
      <c r="D846"/>
    </row>
    <row r="847" spans="4:4" x14ac:dyDescent="0.3">
      <c r="D847"/>
    </row>
    <row r="848" spans="4:4" x14ac:dyDescent="0.3">
      <c r="D848"/>
    </row>
    <row r="849" spans="4:4" x14ac:dyDescent="0.3">
      <c r="D849"/>
    </row>
    <row r="850" spans="4:4" x14ac:dyDescent="0.3">
      <c r="D850"/>
    </row>
    <row r="851" spans="4:4" x14ac:dyDescent="0.3">
      <c r="D851"/>
    </row>
    <row r="852" spans="4:4" x14ac:dyDescent="0.3">
      <c r="D852"/>
    </row>
    <row r="853" spans="4:4" x14ac:dyDescent="0.3">
      <c r="D853"/>
    </row>
    <row r="854" spans="4:4" x14ac:dyDescent="0.3">
      <c r="D854"/>
    </row>
    <row r="855" spans="4:4" x14ac:dyDescent="0.3">
      <c r="D855"/>
    </row>
    <row r="856" spans="4:4" x14ac:dyDescent="0.3">
      <c r="D856"/>
    </row>
    <row r="857" spans="4:4" x14ac:dyDescent="0.3">
      <c r="D857"/>
    </row>
    <row r="858" spans="4:4" x14ac:dyDescent="0.3">
      <c r="D858"/>
    </row>
    <row r="859" spans="4:4" x14ac:dyDescent="0.3">
      <c r="D859"/>
    </row>
    <row r="860" spans="4:4" x14ac:dyDescent="0.3">
      <c r="D860"/>
    </row>
    <row r="861" spans="4:4" x14ac:dyDescent="0.3">
      <c r="D861"/>
    </row>
    <row r="862" spans="4:4" x14ac:dyDescent="0.3">
      <c r="D862"/>
    </row>
    <row r="863" spans="4:4" x14ac:dyDescent="0.3">
      <c r="D863"/>
    </row>
    <row r="864" spans="4:4" x14ac:dyDescent="0.3">
      <c r="D864"/>
    </row>
    <row r="865" spans="4:4" x14ac:dyDescent="0.3">
      <c r="D865"/>
    </row>
    <row r="866" spans="4:4" x14ac:dyDescent="0.3">
      <c r="D866"/>
    </row>
    <row r="867" spans="4:4" x14ac:dyDescent="0.3">
      <c r="D867"/>
    </row>
    <row r="868" spans="4:4" x14ac:dyDescent="0.3">
      <c r="D868"/>
    </row>
    <row r="869" spans="4:4" x14ac:dyDescent="0.3">
      <c r="D869"/>
    </row>
    <row r="870" spans="4:4" x14ac:dyDescent="0.3">
      <c r="D870"/>
    </row>
    <row r="871" spans="4:4" x14ac:dyDescent="0.3">
      <c r="D871"/>
    </row>
    <row r="872" spans="4:4" x14ac:dyDescent="0.3">
      <c r="D872"/>
    </row>
    <row r="873" spans="4:4" x14ac:dyDescent="0.3">
      <c r="D873"/>
    </row>
    <row r="874" spans="4:4" x14ac:dyDescent="0.3">
      <c r="D874"/>
    </row>
    <row r="875" spans="4:4" x14ac:dyDescent="0.3">
      <c r="D875"/>
    </row>
    <row r="876" spans="4:4" x14ac:dyDescent="0.3">
      <c r="D876"/>
    </row>
    <row r="877" spans="4:4" x14ac:dyDescent="0.3">
      <c r="D877"/>
    </row>
    <row r="878" spans="4:4" x14ac:dyDescent="0.3">
      <c r="D878"/>
    </row>
    <row r="879" spans="4:4" x14ac:dyDescent="0.3">
      <c r="D879"/>
    </row>
    <row r="880" spans="4:4" x14ac:dyDescent="0.3">
      <c r="D880"/>
    </row>
    <row r="881" spans="4:4" x14ac:dyDescent="0.3">
      <c r="D881"/>
    </row>
    <row r="882" spans="4:4" x14ac:dyDescent="0.3">
      <c r="D882"/>
    </row>
    <row r="883" spans="4:4" x14ac:dyDescent="0.3">
      <c r="D883"/>
    </row>
    <row r="884" spans="4:4" x14ac:dyDescent="0.3">
      <c r="D884"/>
    </row>
    <row r="885" spans="4:4" x14ac:dyDescent="0.3">
      <c r="D885"/>
    </row>
    <row r="886" spans="4:4" x14ac:dyDescent="0.3">
      <c r="D886"/>
    </row>
    <row r="887" spans="4:4" x14ac:dyDescent="0.3">
      <c r="D887"/>
    </row>
    <row r="888" spans="4:4" x14ac:dyDescent="0.3">
      <c r="D888"/>
    </row>
    <row r="889" spans="4:4" x14ac:dyDescent="0.3">
      <c r="D889"/>
    </row>
    <row r="890" spans="4:4" x14ac:dyDescent="0.3">
      <c r="D890"/>
    </row>
    <row r="891" spans="4:4" x14ac:dyDescent="0.3">
      <c r="D891"/>
    </row>
    <row r="892" spans="4:4" x14ac:dyDescent="0.3">
      <c r="D892"/>
    </row>
    <row r="893" spans="4:4" x14ac:dyDescent="0.3">
      <c r="D893"/>
    </row>
    <row r="894" spans="4:4" x14ac:dyDescent="0.3">
      <c r="D894"/>
    </row>
    <row r="895" spans="4:4" x14ac:dyDescent="0.3">
      <c r="D895"/>
    </row>
    <row r="896" spans="4:4" x14ac:dyDescent="0.3">
      <c r="D896"/>
    </row>
    <row r="897" spans="4:4" x14ac:dyDescent="0.3">
      <c r="D897"/>
    </row>
    <row r="898" spans="4:4" x14ac:dyDescent="0.3">
      <c r="D898"/>
    </row>
    <row r="899" spans="4:4" x14ac:dyDescent="0.3">
      <c r="D899"/>
    </row>
    <row r="900" spans="4:4" x14ac:dyDescent="0.3">
      <c r="D900"/>
    </row>
    <row r="901" spans="4:4" x14ac:dyDescent="0.3">
      <c r="D901"/>
    </row>
    <row r="902" spans="4:4" x14ac:dyDescent="0.3">
      <c r="D902"/>
    </row>
    <row r="903" spans="4:4" x14ac:dyDescent="0.3">
      <c r="D903"/>
    </row>
    <row r="904" spans="4:4" x14ac:dyDescent="0.3">
      <c r="D904"/>
    </row>
    <row r="905" spans="4:4" x14ac:dyDescent="0.3">
      <c r="D905"/>
    </row>
    <row r="906" spans="4:4" x14ac:dyDescent="0.3">
      <c r="D906"/>
    </row>
    <row r="907" spans="4:4" x14ac:dyDescent="0.3">
      <c r="D907"/>
    </row>
    <row r="908" spans="4:4" x14ac:dyDescent="0.3">
      <c r="D908"/>
    </row>
    <row r="909" spans="4:4" x14ac:dyDescent="0.3">
      <c r="D909"/>
    </row>
    <row r="910" spans="4:4" x14ac:dyDescent="0.3">
      <c r="D910"/>
    </row>
    <row r="911" spans="4:4" x14ac:dyDescent="0.3">
      <c r="D911"/>
    </row>
    <row r="912" spans="4:4" x14ac:dyDescent="0.3">
      <c r="D912"/>
    </row>
    <row r="913" spans="4:4" x14ac:dyDescent="0.3">
      <c r="D913"/>
    </row>
    <row r="914" spans="4:4" x14ac:dyDescent="0.3">
      <c r="D914"/>
    </row>
    <row r="915" spans="4:4" x14ac:dyDescent="0.3">
      <c r="D915"/>
    </row>
    <row r="916" spans="4:4" x14ac:dyDescent="0.3">
      <c r="D916"/>
    </row>
    <row r="917" spans="4:4" x14ac:dyDescent="0.3">
      <c r="D917"/>
    </row>
    <row r="918" spans="4:4" x14ac:dyDescent="0.3">
      <c r="D918"/>
    </row>
    <row r="919" spans="4:4" x14ac:dyDescent="0.3">
      <c r="D919"/>
    </row>
    <row r="920" spans="4:4" x14ac:dyDescent="0.3">
      <c r="D920"/>
    </row>
    <row r="921" spans="4:4" x14ac:dyDescent="0.3">
      <c r="D921"/>
    </row>
    <row r="922" spans="4:4" x14ac:dyDescent="0.3">
      <c r="D922"/>
    </row>
    <row r="923" spans="4:4" x14ac:dyDescent="0.3">
      <c r="D923"/>
    </row>
    <row r="924" spans="4:4" x14ac:dyDescent="0.3">
      <c r="D924"/>
    </row>
    <row r="925" spans="4:4" x14ac:dyDescent="0.3">
      <c r="D925"/>
    </row>
    <row r="926" spans="4:4" x14ac:dyDescent="0.3">
      <c r="D926"/>
    </row>
    <row r="927" spans="4:4" x14ac:dyDescent="0.3">
      <c r="D927"/>
    </row>
    <row r="928" spans="4:4" x14ac:dyDescent="0.3">
      <c r="D928"/>
    </row>
    <row r="929" spans="4:4" x14ac:dyDescent="0.3">
      <c r="D929"/>
    </row>
    <row r="930" spans="4:4" x14ac:dyDescent="0.3">
      <c r="D930"/>
    </row>
    <row r="931" spans="4:4" x14ac:dyDescent="0.3">
      <c r="D931"/>
    </row>
    <row r="932" spans="4:4" x14ac:dyDescent="0.3">
      <c r="D932"/>
    </row>
    <row r="933" spans="4:4" x14ac:dyDescent="0.3">
      <c r="D933"/>
    </row>
    <row r="934" spans="4:4" x14ac:dyDescent="0.3">
      <c r="D934"/>
    </row>
    <row r="935" spans="4:4" x14ac:dyDescent="0.3">
      <c r="D935"/>
    </row>
    <row r="936" spans="4:4" x14ac:dyDescent="0.3">
      <c r="D936"/>
    </row>
    <row r="937" spans="4:4" x14ac:dyDescent="0.3">
      <c r="D937"/>
    </row>
    <row r="938" spans="4:4" x14ac:dyDescent="0.3">
      <c r="D938"/>
    </row>
    <row r="939" spans="4:4" x14ac:dyDescent="0.3">
      <c r="D939"/>
    </row>
    <row r="940" spans="4:4" x14ac:dyDescent="0.3">
      <c r="D940"/>
    </row>
    <row r="941" spans="4:4" x14ac:dyDescent="0.3">
      <c r="D941"/>
    </row>
    <row r="942" spans="4:4" x14ac:dyDescent="0.3">
      <c r="D942"/>
    </row>
    <row r="943" spans="4:4" x14ac:dyDescent="0.3">
      <c r="D943"/>
    </row>
    <row r="944" spans="4:4" x14ac:dyDescent="0.3">
      <c r="D944"/>
    </row>
    <row r="945" spans="4:4" x14ac:dyDescent="0.3">
      <c r="D945"/>
    </row>
    <row r="946" spans="4:4" x14ac:dyDescent="0.3">
      <c r="D946"/>
    </row>
    <row r="947" spans="4:4" x14ac:dyDescent="0.3">
      <c r="D947"/>
    </row>
    <row r="948" spans="4:4" x14ac:dyDescent="0.3">
      <c r="D948"/>
    </row>
    <row r="949" spans="4:4" x14ac:dyDescent="0.3">
      <c r="D949"/>
    </row>
    <row r="950" spans="4:4" x14ac:dyDescent="0.3">
      <c r="D9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</vt:lpstr>
      <vt:lpstr>aar</vt:lpstr>
      <vt:lpstr>Variabili pronte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vizzino</dc:creator>
  <cp:lastModifiedBy>Mattia Vizzino</cp:lastModifiedBy>
  <dcterms:created xsi:type="dcterms:W3CDTF">2026-02-19T15:00:22Z</dcterms:created>
  <dcterms:modified xsi:type="dcterms:W3CDTF">2026-02-20T14:48:04Z</dcterms:modified>
</cp:coreProperties>
</file>